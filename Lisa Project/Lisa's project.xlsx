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語言\C-Learning\Lisa Project\"/>
    </mc:Choice>
  </mc:AlternateContent>
  <xr:revisionPtr revIDLastSave="0" documentId="13_ncr:1_{CF9DE544-B4E1-4434-BA13-743ABF99F1E8}" xr6:coauthVersionLast="47" xr6:coauthVersionMax="47" xr10:uidLastSave="{00000000-0000-0000-0000-000000000000}"/>
  <bookViews>
    <workbookView xWindow="-110" yWindow="-110" windowWidth="19420" windowHeight="11500" activeTab="2" xr2:uid="{DA1E983E-EF55-4F84-98AC-5E562C614A6E}"/>
  </bookViews>
  <sheets>
    <sheet name="工作表1" sheetId="1" r:id="rId1"/>
    <sheet name="工作表2" sheetId="2" r:id="rId2"/>
    <sheet name="工作表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9" i="3" l="1"/>
  <c r="L39" i="3"/>
  <c r="K39" i="2"/>
  <c r="J42" i="2"/>
  <c r="K42" i="2" s="1"/>
  <c r="K40" i="2"/>
  <c r="K41" i="2"/>
  <c r="K43" i="2"/>
  <c r="K44" i="2"/>
  <c r="J40" i="2"/>
  <c r="J41" i="2"/>
  <c r="J43" i="2"/>
  <c r="J44" i="2"/>
  <c r="J39" i="2"/>
  <c r="I39" i="2"/>
  <c r="I40" i="2"/>
  <c r="I41" i="2"/>
  <c r="I42" i="2"/>
  <c r="I43" i="2"/>
  <c r="I44" i="2"/>
  <c r="H40" i="2"/>
  <c r="H41" i="2"/>
  <c r="H42" i="2"/>
  <c r="H43" i="2"/>
  <c r="H44" i="2"/>
  <c r="H39" i="2"/>
  <c r="D55" i="1"/>
  <c r="E55" i="1"/>
  <c r="F55" i="1"/>
  <c r="D56" i="1"/>
  <c r="E56" i="1"/>
  <c r="F56" i="1"/>
  <c r="C56" i="1"/>
  <c r="C55" i="1"/>
  <c r="C54" i="1"/>
  <c r="D54" i="1"/>
  <c r="E54" i="1"/>
  <c r="F54" i="1"/>
  <c r="D46" i="1"/>
  <c r="E46" i="1"/>
  <c r="F46" i="1"/>
  <c r="D47" i="1"/>
  <c r="E47" i="1"/>
  <c r="F47" i="1"/>
  <c r="C47" i="1"/>
  <c r="C46" i="1"/>
  <c r="C45" i="1"/>
  <c r="D45" i="1"/>
  <c r="E45" i="1"/>
  <c r="F45" i="1"/>
  <c r="J45" i="1"/>
  <c r="K45" i="1"/>
  <c r="L45" i="1"/>
  <c r="M45" i="1"/>
  <c r="N45" i="1"/>
  <c r="I45" i="1"/>
  <c r="L44" i="1"/>
  <c r="L49" i="1"/>
  <c r="L48" i="1"/>
  <c r="I44" i="1"/>
</calcChain>
</file>

<file path=xl/sharedStrings.xml><?xml version="1.0" encoding="utf-8"?>
<sst xmlns="http://schemas.openxmlformats.org/spreadsheetml/2006/main" count="1307" uniqueCount="84">
  <si>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</si>
  <si>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</si>
  <si>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</si>
  <si>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</si>
  <si>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</si>
  <si>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</si>
  <si>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日期</t>
    <phoneticPr fontId="1" type="noConversion"/>
  </si>
  <si>
    <t>早班(Day Shift)</t>
    <phoneticPr fontId="1" type="noConversion"/>
  </si>
  <si>
    <t>中班(Evening Shift)</t>
    <phoneticPr fontId="1" type="noConversion"/>
  </si>
  <si>
    <t>晚班(Night Shift)</t>
    <phoneticPr fontId="1" type="noConversion"/>
  </si>
  <si>
    <t>輪休(Day-off)</t>
    <phoneticPr fontId="1" type="noConversion"/>
  </si>
  <si>
    <t>假差(Leave)</t>
    <phoneticPr fontId="1" type="noConversion"/>
  </si>
  <si>
    <t>值班主管(DM)</t>
    <phoneticPr fontId="1" type="noConversion"/>
  </si>
  <si>
    <t>鹽水(B)</t>
    <phoneticPr fontId="1" type="noConversion"/>
  </si>
  <si>
    <t>鹽酸(H)</t>
    <phoneticPr fontId="1" type="noConversion"/>
  </si>
  <si>
    <t>ds_dm_workday</t>
    <phoneticPr fontId="1" type="noConversion"/>
  </si>
  <si>
    <t>Sat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</si>
  <si>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</si>
  <si>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</si>
  <si>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</si>
  <si>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</si>
  <si>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</si>
  <si>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</si>
  <si>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Sun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</si>
  <si>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</si>
  <si>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</si>
  <si>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</si>
  <si>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</si>
  <si>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</si>
  <si>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H/E</t>
    <phoneticPr fontId="1" type="noConversion"/>
  </si>
  <si>
    <t>B(事假)</t>
    <phoneticPr fontId="1" type="noConversion"/>
  </si>
  <si>
    <t>date</t>
  </si>
  <si>
    <t>week</t>
  </si>
  <si>
    <t>Day</t>
  </si>
  <si>
    <t>Evening</t>
  </si>
  <si>
    <t>Night</t>
  </si>
  <si>
    <t>DM</t>
  </si>
  <si>
    <t>Brine</t>
  </si>
  <si>
    <t>HCl</t>
  </si>
  <si>
    <t>Sat</t>
  </si>
  <si>
    <t>Carol</t>
  </si>
  <si>
    <t>Frank</t>
  </si>
  <si>
    <t>Iris</t>
  </si>
  <si>
    <t>Louis</t>
  </si>
  <si>
    <t>Sun</t>
  </si>
  <si>
    <t>Mon</t>
  </si>
  <si>
    <t>Tue</t>
  </si>
  <si>
    <t>Wed</t>
  </si>
  <si>
    <t>Thu</t>
  </si>
  <si>
    <t>Fri</t>
  </si>
  <si>
    <t>Day-off</t>
  </si>
  <si>
    <t>Leave</t>
  </si>
  <si>
    <t>Alice0</t>
  </si>
  <si>
    <t>David1</t>
  </si>
  <si>
    <t>Grog2</t>
  </si>
  <si>
    <t>Jackson3</t>
  </si>
  <si>
    <t>Bruce0</t>
  </si>
  <si>
    <t>Eason2</t>
  </si>
  <si>
    <t>Hank4</t>
  </si>
  <si>
    <t>Ken6</t>
  </si>
  <si>
    <t>Date</t>
  </si>
  <si>
    <t>Week</t>
  </si>
  <si>
    <t>=====</t>
  </si>
  <si>
    <t>=======</t>
  </si>
  <si>
    <t>========</t>
  </si>
  <si>
    <t>============</t>
  </si>
  <si>
    <t>==========</t>
  </si>
  <si>
    <t>==============================</t>
  </si>
  <si>
    <t>DM     Brine       HCl</t>
  </si>
  <si>
    <t>小豬</t>
  </si>
  <si>
    <t>小新</t>
  </si>
  <si>
    <t>廣志</t>
  </si>
  <si>
    <t>小豬/屹耳</t>
  </si>
  <si>
    <t>小葵</t>
  </si>
  <si>
    <t>小白</t>
  </si>
  <si>
    <t>屹耳</t>
  </si>
  <si>
    <t>風間</t>
  </si>
  <si>
    <t>阿呆</t>
  </si>
  <si>
    <t>羅賓</t>
  </si>
  <si>
    <t>妮妮</t>
  </si>
  <si>
    <t>正男</t>
  </si>
  <si>
    <t>維尼</t>
  </si>
  <si>
    <t>風間/小新</t>
  </si>
  <si>
    <t>廣志/小白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</si>
</sst>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/dd"/>
    <numFmt numFmtId="177" formatCode="m&quot;月&quot;d&quot;日&quot;"/>
    <numFmt numFmtId="178" formatCode="0.0"/>
  </numFmts>
  <fonts count="2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Fill="1">
      <alignment vertical="center"/>
    </xf>
    <xf numFmtId="176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一般" xfId="0" builtinId="0"/>
  </cellStyles>
  <dxfs count="12"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fgColor auto="1"/>
          <bgColor theme="9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339966"/>
      <color rgb="FFCCCCFF"/>
      <color rgb="FFCCFF33"/>
      <color rgb="FFFFCC99"/>
      <color rgb="FFCC9900"/>
      <color rgb="FFCCFFFF"/>
      <color rgb="FF9999FF"/>
      <color rgb="FFFAE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78D1-075F-4051-8320-17672C409E34}">
  <dimension ref="C5:AA61"/>
  <sheetViews>
    <sheetView topLeftCell="D1" zoomScale="115" zoomScaleNormal="115" workbookViewId="0">
      <selection activeCell="M17" sqref="M17"/>
    </sheetView>
  </sheetViews>
  <sheetFormatPr defaultRowHeight="15.5" x14ac:dyDescent="0.35"/>
  <cols>
    <col min="4" max="4" width="9.0703125" bestFit="1" customWidth="1"/>
    <col min="6" max="6" width="13.42578125" bestFit="1" customWidth="1"/>
    <col min="7" max="7" width="10.7109375" bestFit="1" customWidth="1"/>
    <col min="8" max="8" width="9.42578125" bestFit="1" customWidth="1"/>
    <col min="9" max="9" width="13.42578125" bestFit="1" customWidth="1"/>
    <col min="12" max="12" width="13.42578125" bestFit="1" customWidth="1"/>
    <col min="13" max="13" width="10.7109375" bestFit="1" customWidth="1"/>
    <col min="14" max="14" width="9" customWidth="1"/>
    <col min="15" max="15" width="13.42578125" bestFit="1" customWidth="1"/>
    <col min="18" max="18" width="14.640625" bestFit="1" customWidth="1"/>
    <col min="19" max="19" width="18.640625" bestFit="1" customWidth="1"/>
    <col min="20" max="20" width="16.35546875" bestFit="1" customWidth="1"/>
    <col min="21" max="21" width="10.0703125" customWidth="1"/>
    <col min="22" max="22" width="15.7109375" bestFit="1" customWidth="1"/>
  </cols>
  <sheetData>
    <row r="5" spans="4:27" x14ac:dyDescent="0.35">
      <c r="D5" s="17" t="s">
        <v>6</v>
      </c>
      <c r="E5" s="17"/>
      <c r="F5" s="17" t="s">
        <v>7</v>
      </c>
      <c r="G5" s="17"/>
      <c r="H5" s="17"/>
      <c r="I5" s="17" t="s">
        <v>8</v>
      </c>
      <c r="J5" s="17"/>
      <c r="K5" s="17"/>
      <c r="L5" s="17" t="s">
        <v>9</v>
      </c>
      <c r="M5" s="17"/>
      <c r="N5" s="17"/>
      <c r="O5" s="17" t="s">
        <v>10</v>
      </c>
      <c r="P5" s="17"/>
      <c r="Q5" s="17"/>
      <c r="R5" s="17" t="s">
        <v>11</v>
      </c>
      <c r="S5" s="17"/>
      <c r="T5" s="17"/>
    </row>
    <row r="6" spans="4:27" x14ac:dyDescent="0.35">
      <c r="F6" s="1" t="s">
        <v>12</v>
      </c>
      <c r="G6" s="1" t="s">
        <v>13</v>
      </c>
      <c r="H6" s="1" t="s">
        <v>14</v>
      </c>
      <c r="I6" s="1" t="s">
        <v>12</v>
      </c>
      <c r="J6" s="1" t="s">
        <v>13</v>
      </c>
      <c r="K6" s="1" t="s">
        <v>14</v>
      </c>
      <c r="L6" s="1" t="s">
        <v>12</v>
      </c>
      <c r="M6" s="1" t="s">
        <v>13</v>
      </c>
      <c r="N6" s="1" t="s">
        <v>14</v>
      </c>
      <c r="O6" s="1" t="s">
        <v>12</v>
      </c>
      <c r="P6" s="1" t="s">
        <v>13</v>
      </c>
      <c r="Q6" s="1" t="s">
        <v>14</v>
      </c>
      <c r="R6" s="1" t="s">
        <v>7</v>
      </c>
      <c r="S6" s="1" t="s">
        <v>8</v>
      </c>
      <c r="T6" s="1" t="s">
        <v>9</v>
      </c>
      <c r="V6" t="s">
        <v>15</v>
      </c>
    </row>
    <row r="7" spans="4:27" x14ac:dyDescent="0.35">
      <c r="D7" s="2">
        <v>46235</v>
      </c>
      <c r="E7" s="3" t="s">
        <v>16</v>
      </c>
      <c r="F7" s="1" t="s">
        <v>0</v>
      </c>
      <c r="G7" s="1" t="s">
        <v>1</v>
      </c>
      <c r="H7" s="1" t="s">
        <v>2</v>
      </c>
      <c r="I7" s="1" t="s">
        <v>3</v>
      </c>
      <c r="J7" s="1" t="s">
        <v>4</v>
      </c>
      <c r="K7" s="1" t="s">
        <v>5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  <c r="R7" s="1"/>
      <c r="S7" s="1"/>
      <c r="T7" s="1"/>
      <c r="V7">
        <v>1</v>
      </c>
    </row>
    <row r="8" spans="4:27" x14ac:dyDescent="0.35">
      <c r="D8" s="2">
        <v>46236</v>
      </c>
      <c r="E8" s="3" t="s">
        <v>23</v>
      </c>
      <c r="F8" s="1" t="s">
        <v>0</v>
      </c>
      <c r="G8" s="1" t="s">
        <v>1</v>
      </c>
      <c r="H8" s="1" t="s">
        <v>2</v>
      </c>
      <c r="I8" s="1" t="s">
        <v>3</v>
      </c>
      <c r="J8" s="1" t="s">
        <v>4</v>
      </c>
      <c r="K8" s="1" t="s">
        <v>5</v>
      </c>
      <c r="L8" s="1" t="s">
        <v>17</v>
      </c>
      <c r="M8" s="1" t="s">
        <v>18</v>
      </c>
      <c r="N8" s="1" t="s">
        <v>19</v>
      </c>
      <c r="O8" s="1" t="s">
        <v>20</v>
      </c>
      <c r="P8" s="1" t="s">
        <v>21</v>
      </c>
      <c r="Q8" s="1" t="s">
        <v>22</v>
      </c>
      <c r="R8" s="1"/>
      <c r="S8" s="1"/>
      <c r="T8" s="1"/>
    </row>
    <row r="9" spans="4:27" x14ac:dyDescent="0.35">
      <c r="D9" s="2">
        <v>46237</v>
      </c>
      <c r="E9" s="3" t="s">
        <v>24</v>
      </c>
      <c r="F9" s="1" t="s">
        <v>0</v>
      </c>
      <c r="G9" s="1" t="s">
        <v>1</v>
      </c>
      <c r="H9" s="1" t="s">
        <v>2</v>
      </c>
      <c r="I9" s="1" t="s">
        <v>3</v>
      </c>
      <c r="J9" s="1" t="s">
        <v>4</v>
      </c>
      <c r="K9" s="1" t="s">
        <v>5</v>
      </c>
      <c r="L9" s="1" t="s">
        <v>20</v>
      </c>
      <c r="M9" s="1" t="s">
        <v>21</v>
      </c>
      <c r="N9" s="1" t="s">
        <v>22</v>
      </c>
      <c r="O9" s="1" t="s">
        <v>17</v>
      </c>
      <c r="P9" s="1" t="s">
        <v>18</v>
      </c>
      <c r="Q9" s="1" t="s">
        <v>19</v>
      </c>
      <c r="R9" s="1"/>
      <c r="S9" s="1"/>
      <c r="T9" s="1"/>
    </row>
    <row r="10" spans="4:27" s="12" customFormat="1" x14ac:dyDescent="0.35">
      <c r="D10" s="9">
        <v>46238</v>
      </c>
      <c r="E10" s="10" t="s">
        <v>25</v>
      </c>
      <c r="F10" s="11" t="s">
        <v>0</v>
      </c>
      <c r="G10" s="11" t="s">
        <v>1</v>
      </c>
      <c r="H10" s="11" t="s">
        <v>2</v>
      </c>
      <c r="I10" s="11" t="s">
        <v>3</v>
      </c>
      <c r="J10" s="11" t="s">
        <v>4</v>
      </c>
      <c r="K10" s="11" t="s">
        <v>5</v>
      </c>
      <c r="L10" s="11" t="s">
        <v>20</v>
      </c>
      <c r="M10" s="11" t="s">
        <v>21</v>
      </c>
      <c r="N10" s="11" t="s">
        <v>22</v>
      </c>
      <c r="O10" s="11" t="s">
        <v>17</v>
      </c>
      <c r="P10" s="11" t="s">
        <v>18</v>
      </c>
      <c r="Q10" s="11" t="s">
        <v>19</v>
      </c>
      <c r="R10" s="11"/>
      <c r="S10" s="11"/>
      <c r="T10" s="11"/>
    </row>
    <row r="11" spans="4:27" x14ac:dyDescent="0.35">
      <c r="D11" s="2">
        <v>46239</v>
      </c>
      <c r="E11" s="3" t="s">
        <v>26</v>
      </c>
      <c r="F11" s="1" t="s">
        <v>0</v>
      </c>
      <c r="G11" s="1" t="s">
        <v>1</v>
      </c>
      <c r="H11" s="1" t="s">
        <v>2</v>
      </c>
      <c r="I11" s="1" t="s">
        <v>17</v>
      </c>
      <c r="J11" s="1" t="s">
        <v>18</v>
      </c>
      <c r="K11" s="1" t="s">
        <v>19</v>
      </c>
      <c r="L11" s="1" t="s">
        <v>20</v>
      </c>
      <c r="M11" s="1" t="s">
        <v>21</v>
      </c>
      <c r="N11" s="1" t="s">
        <v>22</v>
      </c>
      <c r="O11" s="1" t="s">
        <v>3</v>
      </c>
      <c r="P11" s="1" t="s">
        <v>4</v>
      </c>
      <c r="Q11" s="1" t="s">
        <v>5</v>
      </c>
      <c r="R11" s="1"/>
      <c r="S11" s="1"/>
      <c r="T11" s="1"/>
    </row>
    <row r="12" spans="4:27" x14ac:dyDescent="0.35">
      <c r="D12" s="2">
        <v>46240</v>
      </c>
      <c r="E12" s="3" t="s">
        <v>27</v>
      </c>
      <c r="F12" s="1" t="s">
        <v>0</v>
      </c>
      <c r="G12" s="1" t="s">
        <v>1</v>
      </c>
      <c r="H12" s="1" t="s">
        <v>2</v>
      </c>
      <c r="I12" s="1" t="s">
        <v>17</v>
      </c>
      <c r="J12" s="1" t="s">
        <v>18</v>
      </c>
      <c r="K12" s="1" t="s">
        <v>19</v>
      </c>
      <c r="L12" s="1" t="s">
        <v>20</v>
      </c>
      <c r="M12" s="1" t="s">
        <v>21</v>
      </c>
      <c r="N12" s="1" t="s">
        <v>22</v>
      </c>
      <c r="O12" s="1" t="s">
        <v>3</v>
      </c>
      <c r="P12" s="1" t="s">
        <v>4</v>
      </c>
      <c r="Q12" s="1" t="s">
        <v>5</v>
      </c>
      <c r="R12" s="1"/>
      <c r="S12" s="1"/>
      <c r="T12" s="1"/>
    </row>
    <row r="13" spans="4:27" x14ac:dyDescent="0.35">
      <c r="D13" s="2">
        <v>46241</v>
      </c>
      <c r="E13" s="3" t="s">
        <v>28</v>
      </c>
      <c r="F13" s="1" t="s">
        <v>3</v>
      </c>
      <c r="G13" s="1" t="s">
        <v>4</v>
      </c>
      <c r="H13" s="1" t="s">
        <v>5</v>
      </c>
      <c r="I13" s="1" t="s">
        <v>17</v>
      </c>
      <c r="J13" s="1" t="s">
        <v>18</v>
      </c>
      <c r="K13" s="1" t="s">
        <v>19</v>
      </c>
      <c r="L13" s="1" t="s">
        <v>20</v>
      </c>
      <c r="M13" s="1" t="s">
        <v>21</v>
      </c>
      <c r="N13" s="1" t="s">
        <v>22</v>
      </c>
      <c r="O13" s="1" t="s">
        <v>0</v>
      </c>
      <c r="P13" s="1" t="s">
        <v>1</v>
      </c>
      <c r="Q13" s="1" t="s">
        <v>2</v>
      </c>
      <c r="R13" s="1"/>
      <c r="S13" s="1"/>
      <c r="T13" s="1"/>
    </row>
    <row r="14" spans="4:27" s="8" customFormat="1" x14ac:dyDescent="0.35">
      <c r="D14" s="5">
        <v>46242</v>
      </c>
      <c r="E14" s="6" t="s">
        <v>16</v>
      </c>
      <c r="F14" s="7" t="s">
        <v>3</v>
      </c>
      <c r="G14" s="7" t="s">
        <v>4</v>
      </c>
      <c r="H14" s="7" t="s">
        <v>5</v>
      </c>
      <c r="I14" s="7" t="s">
        <v>17</v>
      </c>
      <c r="J14" s="7" t="s">
        <v>18</v>
      </c>
      <c r="K14" s="7" t="s">
        <v>19</v>
      </c>
      <c r="L14" s="7" t="s">
        <v>20</v>
      </c>
      <c r="M14" s="7" t="s">
        <v>21</v>
      </c>
      <c r="N14" s="7" t="s">
        <v>22</v>
      </c>
      <c r="O14" s="7" t="s">
        <v>0</v>
      </c>
      <c r="P14" s="7" t="s">
        <v>1</v>
      </c>
      <c r="Q14" s="7" t="s">
        <v>2</v>
      </c>
      <c r="R14" s="7"/>
      <c r="S14" s="7"/>
      <c r="T14" s="7"/>
    </row>
    <row r="15" spans="4:27" x14ac:dyDescent="0.35">
      <c r="D15" s="2">
        <v>46243</v>
      </c>
      <c r="E15" s="3" t="s">
        <v>23</v>
      </c>
      <c r="F15" s="1" t="s">
        <v>3</v>
      </c>
      <c r="G15" s="1" t="s">
        <v>4</v>
      </c>
      <c r="H15" s="1" t="s">
        <v>5</v>
      </c>
      <c r="I15" s="1" t="s">
        <v>17</v>
      </c>
      <c r="J15" s="1" t="s">
        <v>18</v>
      </c>
      <c r="K15" s="1" t="s">
        <v>19</v>
      </c>
      <c r="L15" s="1" t="s">
        <v>0</v>
      </c>
      <c r="M15" s="1" t="s">
        <v>1</v>
      </c>
      <c r="N15" s="1" t="s">
        <v>2</v>
      </c>
      <c r="O15" s="1" t="s">
        <v>20</v>
      </c>
      <c r="P15" s="1" t="s">
        <v>21</v>
      </c>
      <c r="Q15" s="1" t="s">
        <v>22</v>
      </c>
      <c r="R15" s="1"/>
      <c r="Z15" s="1"/>
      <c r="AA15" s="1"/>
    </row>
    <row r="16" spans="4:27" x14ac:dyDescent="0.35">
      <c r="D16" s="2">
        <v>46244</v>
      </c>
      <c r="E16" s="3" t="s">
        <v>24</v>
      </c>
      <c r="F16" s="1" t="s">
        <v>3</v>
      </c>
      <c r="G16" s="1" t="s">
        <v>4</v>
      </c>
      <c r="H16" s="1" t="s">
        <v>5</v>
      </c>
      <c r="I16" s="1" t="s">
        <v>17</v>
      </c>
      <c r="J16" s="1" t="s">
        <v>18</v>
      </c>
      <c r="K16" s="1" t="s">
        <v>19</v>
      </c>
      <c r="L16" s="1" t="s">
        <v>0</v>
      </c>
      <c r="M16" s="1" t="s">
        <v>1</v>
      </c>
      <c r="N16" s="1" t="s">
        <v>2</v>
      </c>
      <c r="O16" s="1" t="s">
        <v>20</v>
      </c>
      <c r="P16" s="1" t="s">
        <v>21</v>
      </c>
      <c r="Q16" s="1" t="s">
        <v>22</v>
      </c>
      <c r="R16" s="1"/>
      <c r="S16" s="1"/>
      <c r="T16" s="1"/>
    </row>
    <row r="17" spans="4:20" s="8" customFormat="1" x14ac:dyDescent="0.35">
      <c r="D17" s="5">
        <v>46245</v>
      </c>
      <c r="E17" s="6" t="s">
        <v>25</v>
      </c>
      <c r="F17" s="7" t="s">
        <v>3</v>
      </c>
      <c r="G17" s="7" t="s">
        <v>4</v>
      </c>
      <c r="H17" s="7" t="s">
        <v>5</v>
      </c>
      <c r="I17" s="7" t="s">
        <v>20</v>
      </c>
      <c r="J17" s="7" t="s">
        <v>21</v>
      </c>
      <c r="K17" s="7" t="s">
        <v>22</v>
      </c>
      <c r="L17" s="7" t="s">
        <v>0</v>
      </c>
      <c r="M17" s="7" t="s">
        <v>1</v>
      </c>
      <c r="N17" s="7" t="s">
        <v>2</v>
      </c>
      <c r="O17" s="7" t="s">
        <v>17</v>
      </c>
      <c r="P17" s="7" t="s">
        <v>18</v>
      </c>
      <c r="Q17" s="7" t="s">
        <v>19</v>
      </c>
      <c r="R17" s="7"/>
      <c r="S17" s="7"/>
      <c r="T17" s="7"/>
    </row>
    <row r="18" spans="4:20" x14ac:dyDescent="0.35">
      <c r="D18" s="2">
        <v>46246</v>
      </c>
      <c r="E18" s="3" t="s">
        <v>26</v>
      </c>
      <c r="F18" s="1" t="s">
        <v>3</v>
      </c>
      <c r="G18" s="1" t="s">
        <v>4</v>
      </c>
      <c r="H18" s="1" t="s">
        <v>5</v>
      </c>
      <c r="I18" s="1" t="s">
        <v>20</v>
      </c>
      <c r="J18" s="1" t="s">
        <v>21</v>
      </c>
      <c r="K18" s="1" t="s">
        <v>22</v>
      </c>
      <c r="L18" s="1" t="s">
        <v>0</v>
      </c>
      <c r="M18" s="1" t="s">
        <v>1</v>
      </c>
      <c r="N18" s="1" t="s">
        <v>2</v>
      </c>
      <c r="O18" s="1" t="s">
        <v>17</v>
      </c>
      <c r="P18" s="1" t="s">
        <v>18</v>
      </c>
      <c r="Q18" s="1" t="s">
        <v>19</v>
      </c>
      <c r="R18" s="1"/>
      <c r="S18" s="1"/>
      <c r="T18" s="1"/>
    </row>
    <row r="19" spans="4:20" x14ac:dyDescent="0.35">
      <c r="D19" s="2">
        <v>46247</v>
      </c>
      <c r="E19" s="3" t="s">
        <v>27</v>
      </c>
      <c r="F19" s="1" t="s">
        <v>17</v>
      </c>
      <c r="G19" s="1" t="s">
        <v>18</v>
      </c>
      <c r="H19" s="1" t="s">
        <v>19</v>
      </c>
      <c r="I19" s="1" t="s">
        <v>20</v>
      </c>
      <c r="J19" s="1" t="s">
        <v>21</v>
      </c>
      <c r="K19" s="1" t="s">
        <v>22</v>
      </c>
      <c r="L19" s="1" t="s">
        <v>0</v>
      </c>
      <c r="M19" s="1" t="s">
        <v>1</v>
      </c>
      <c r="N19" s="1" t="s">
        <v>2</v>
      </c>
      <c r="O19" s="1" t="s">
        <v>3</v>
      </c>
      <c r="P19" s="1" t="s">
        <v>4</v>
      </c>
      <c r="Q19" s="1" t="s">
        <v>5</v>
      </c>
      <c r="R19" s="1"/>
      <c r="S19" s="1"/>
      <c r="T19" s="1"/>
    </row>
    <row r="20" spans="4:20" x14ac:dyDescent="0.35">
      <c r="D20" s="2">
        <v>46248</v>
      </c>
      <c r="E20" s="3" t="s">
        <v>28</v>
      </c>
      <c r="F20" s="1" t="s">
        <v>17</v>
      </c>
      <c r="G20" s="1" t="s">
        <v>18</v>
      </c>
      <c r="H20" s="1" t="s">
        <v>19</v>
      </c>
      <c r="I20" s="1" t="s">
        <v>20</v>
      </c>
      <c r="J20" s="1" t="s">
        <v>21</v>
      </c>
      <c r="K20" s="1" t="s">
        <v>22</v>
      </c>
      <c r="L20" s="1" t="s">
        <v>0</v>
      </c>
      <c r="M20" s="1" t="s">
        <v>1</v>
      </c>
      <c r="N20" s="1" t="s">
        <v>2</v>
      </c>
      <c r="O20" s="1" t="s">
        <v>3</v>
      </c>
      <c r="P20" s="1" t="s">
        <v>4</v>
      </c>
      <c r="Q20" s="1" t="s">
        <v>5</v>
      </c>
      <c r="R20" s="1"/>
      <c r="S20" s="1"/>
      <c r="T20" s="1"/>
    </row>
    <row r="21" spans="4:20" x14ac:dyDescent="0.35">
      <c r="D21" s="2">
        <v>46249</v>
      </c>
      <c r="E21" s="3" t="s">
        <v>16</v>
      </c>
      <c r="F21" s="1" t="s">
        <v>17</v>
      </c>
      <c r="G21" s="1" t="s">
        <v>18</v>
      </c>
      <c r="H21" s="1" t="s">
        <v>19</v>
      </c>
      <c r="I21" s="1" t="s">
        <v>20</v>
      </c>
      <c r="J21" s="1" t="s">
        <v>21</v>
      </c>
      <c r="K21" s="1" t="s">
        <v>22</v>
      </c>
      <c r="L21" s="1" t="s">
        <v>3</v>
      </c>
      <c r="M21" s="1" t="s">
        <v>4</v>
      </c>
      <c r="N21" s="1" t="s">
        <v>5</v>
      </c>
      <c r="O21" s="1" t="s">
        <v>0</v>
      </c>
      <c r="P21" s="1" t="s">
        <v>1</v>
      </c>
      <c r="Q21" s="1" t="s">
        <v>2</v>
      </c>
      <c r="R21" s="1"/>
      <c r="S21" s="1"/>
      <c r="T21" s="1"/>
    </row>
    <row r="22" spans="4:20" x14ac:dyDescent="0.35">
      <c r="D22" s="2">
        <v>46250</v>
      </c>
      <c r="E22" s="3" t="s">
        <v>23</v>
      </c>
      <c r="F22" s="1" t="s">
        <v>17</v>
      </c>
      <c r="G22" s="1" t="s">
        <v>18</v>
      </c>
      <c r="H22" s="1" t="s">
        <v>19</v>
      </c>
      <c r="I22" s="1" t="s">
        <v>20</v>
      </c>
      <c r="J22" s="1" t="s">
        <v>21</v>
      </c>
      <c r="K22" s="1" t="s">
        <v>22</v>
      </c>
      <c r="L22" s="1" t="s">
        <v>3</v>
      </c>
      <c r="M22" s="1" t="s">
        <v>4</v>
      </c>
      <c r="N22" s="1" t="s">
        <v>5</v>
      </c>
      <c r="O22" s="1" t="s">
        <v>0</v>
      </c>
      <c r="P22" s="1" t="s">
        <v>1</v>
      </c>
      <c r="Q22" s="1" t="s">
        <v>2</v>
      </c>
      <c r="R22" s="1"/>
      <c r="S22" s="1"/>
      <c r="T22" s="1"/>
    </row>
    <row r="23" spans="4:20" x14ac:dyDescent="0.35">
      <c r="D23" s="2">
        <v>46251</v>
      </c>
      <c r="E23" s="3" t="s">
        <v>24</v>
      </c>
      <c r="F23" s="1" t="s">
        <v>17</v>
      </c>
      <c r="G23" s="1" t="s">
        <v>18</v>
      </c>
      <c r="H23" s="1" t="s">
        <v>19</v>
      </c>
      <c r="I23" s="1" t="s">
        <v>0</v>
      </c>
      <c r="J23" s="1" t="s">
        <v>1</v>
      </c>
      <c r="K23" s="1" t="s">
        <v>2</v>
      </c>
      <c r="L23" s="1" t="s">
        <v>3</v>
      </c>
      <c r="M23" s="1" t="s">
        <v>4</v>
      </c>
      <c r="N23" s="1" t="s">
        <v>5</v>
      </c>
      <c r="O23" s="1" t="s">
        <v>20</v>
      </c>
      <c r="P23" s="1" t="s">
        <v>21</v>
      </c>
      <c r="Q23" s="1" t="s">
        <v>22</v>
      </c>
      <c r="R23" s="1"/>
      <c r="S23" s="1"/>
      <c r="T23" s="1"/>
    </row>
    <row r="24" spans="4:20" s="8" customFormat="1" x14ac:dyDescent="0.35">
      <c r="D24" s="5">
        <v>46252</v>
      </c>
      <c r="E24" s="6" t="s">
        <v>25</v>
      </c>
      <c r="F24" s="7" t="s">
        <v>17</v>
      </c>
      <c r="G24" s="7" t="s">
        <v>18</v>
      </c>
      <c r="H24" s="7" t="s">
        <v>19</v>
      </c>
      <c r="I24" s="7" t="s">
        <v>0</v>
      </c>
      <c r="J24" s="7" t="s">
        <v>29</v>
      </c>
      <c r="K24" s="7" t="s">
        <v>2</v>
      </c>
      <c r="L24" s="7" t="s">
        <v>3</v>
      </c>
      <c r="M24" s="7" t="s">
        <v>4</v>
      </c>
      <c r="N24" s="7" t="s">
        <v>5</v>
      </c>
      <c r="O24" s="7" t="s">
        <v>20</v>
      </c>
      <c r="P24" s="7" t="s">
        <v>21</v>
      </c>
      <c r="Q24" s="7" t="s">
        <v>22</v>
      </c>
      <c r="R24" s="7"/>
      <c r="S24" s="7" t="s">
        <v>30</v>
      </c>
      <c r="T24" s="7"/>
    </row>
    <row r="25" spans="4:20" x14ac:dyDescent="0.35">
      <c r="D25" s="2">
        <v>46253</v>
      </c>
      <c r="E25" s="3" t="s">
        <v>26</v>
      </c>
      <c r="F25" s="1" t="s">
        <v>20</v>
      </c>
      <c r="G25" s="1" t="s">
        <v>21</v>
      </c>
      <c r="H25" s="1" t="s">
        <v>22</v>
      </c>
      <c r="I25" s="1" t="s">
        <v>0</v>
      </c>
      <c r="J25" s="1" t="s">
        <v>1</v>
      </c>
      <c r="K25" s="1" t="s">
        <v>2</v>
      </c>
      <c r="L25" s="1" t="s">
        <v>3</v>
      </c>
      <c r="M25" s="1" t="s">
        <v>4</v>
      </c>
      <c r="N25" s="1" t="s">
        <v>5</v>
      </c>
      <c r="O25" s="1" t="s">
        <v>17</v>
      </c>
      <c r="P25" s="1" t="s">
        <v>18</v>
      </c>
      <c r="Q25" s="1" t="s">
        <v>19</v>
      </c>
      <c r="R25" s="1"/>
      <c r="S25" s="1"/>
      <c r="T25" s="1"/>
    </row>
    <row r="26" spans="4:20" x14ac:dyDescent="0.35">
      <c r="D26" s="2">
        <v>46254</v>
      </c>
      <c r="E26" s="3" t="s">
        <v>27</v>
      </c>
      <c r="F26" s="1" t="s">
        <v>20</v>
      </c>
      <c r="G26" s="1" t="s">
        <v>21</v>
      </c>
      <c r="H26" s="1" t="s">
        <v>22</v>
      </c>
      <c r="I26" s="1" t="s">
        <v>0</v>
      </c>
      <c r="J26" s="1" t="s">
        <v>1</v>
      </c>
      <c r="K26" s="1" t="s">
        <v>2</v>
      </c>
      <c r="L26" s="1" t="s">
        <v>3</v>
      </c>
      <c r="M26" s="1" t="s">
        <v>4</v>
      </c>
      <c r="N26" s="1" t="s">
        <v>5</v>
      </c>
      <c r="O26" s="1" t="s">
        <v>17</v>
      </c>
      <c r="P26" s="1" t="s">
        <v>18</v>
      </c>
      <c r="Q26" s="1" t="s">
        <v>19</v>
      </c>
      <c r="R26" s="1"/>
      <c r="S26" s="1"/>
      <c r="T26" s="1"/>
    </row>
    <row r="27" spans="4:20" x14ac:dyDescent="0.35">
      <c r="D27" s="2">
        <v>46255</v>
      </c>
      <c r="E27" s="3" t="s">
        <v>28</v>
      </c>
      <c r="F27" s="1" t="s">
        <v>20</v>
      </c>
      <c r="G27" s="1" t="s">
        <v>21</v>
      </c>
      <c r="H27" s="1" t="s">
        <v>22</v>
      </c>
      <c r="I27" s="1" t="s">
        <v>0</v>
      </c>
      <c r="J27" s="1" t="s">
        <v>1</v>
      </c>
      <c r="K27" s="1" t="s">
        <v>2</v>
      </c>
      <c r="L27" s="1" t="s">
        <v>17</v>
      </c>
      <c r="M27" s="1" t="s">
        <v>18</v>
      </c>
      <c r="N27" s="1" t="s">
        <v>19</v>
      </c>
      <c r="O27" s="1" t="s">
        <v>3</v>
      </c>
      <c r="P27" s="1" t="s">
        <v>4</v>
      </c>
      <c r="Q27" s="1" t="s">
        <v>5</v>
      </c>
      <c r="R27" s="1"/>
      <c r="S27" s="1"/>
      <c r="T27" s="1"/>
    </row>
    <row r="28" spans="4:20" x14ac:dyDescent="0.35">
      <c r="D28" s="2">
        <v>46256</v>
      </c>
      <c r="E28" s="3" t="s">
        <v>16</v>
      </c>
      <c r="F28" s="1" t="s">
        <v>20</v>
      </c>
      <c r="G28" s="1" t="s">
        <v>21</v>
      </c>
      <c r="H28" s="1" t="s">
        <v>22</v>
      </c>
      <c r="I28" s="1" t="s">
        <v>0</v>
      </c>
      <c r="J28" s="1" t="s">
        <v>1</v>
      </c>
      <c r="K28" s="1" t="s">
        <v>2</v>
      </c>
      <c r="L28" s="1" t="s">
        <v>17</v>
      </c>
      <c r="M28" s="1" t="s">
        <v>18</v>
      </c>
      <c r="N28" s="1" t="s">
        <v>19</v>
      </c>
      <c r="O28" s="1" t="s">
        <v>3</v>
      </c>
      <c r="P28" s="1" t="s">
        <v>4</v>
      </c>
      <c r="Q28" s="1" t="s">
        <v>5</v>
      </c>
      <c r="R28" s="1"/>
      <c r="S28" s="1"/>
      <c r="T28" s="1"/>
    </row>
    <row r="29" spans="4:20" x14ac:dyDescent="0.35">
      <c r="D29" s="2">
        <v>46257</v>
      </c>
      <c r="E29" s="3" t="s">
        <v>23</v>
      </c>
      <c r="F29" s="1" t="s">
        <v>20</v>
      </c>
      <c r="G29" s="1" t="s">
        <v>21</v>
      </c>
      <c r="H29" s="1" t="s">
        <v>22</v>
      </c>
      <c r="I29" s="1" t="s">
        <v>3</v>
      </c>
      <c r="J29" s="1" t="s">
        <v>4</v>
      </c>
      <c r="K29" s="1" t="s">
        <v>5</v>
      </c>
      <c r="L29" s="1" t="s">
        <v>17</v>
      </c>
      <c r="M29" s="1" t="s">
        <v>18</v>
      </c>
      <c r="N29" s="1" t="s">
        <v>19</v>
      </c>
      <c r="O29" s="1" t="s">
        <v>0</v>
      </c>
      <c r="P29" s="1" t="s">
        <v>1</v>
      </c>
      <c r="Q29" s="1" t="s">
        <v>2</v>
      </c>
      <c r="R29" s="1"/>
      <c r="S29" s="1"/>
      <c r="T29" s="1"/>
    </row>
    <row r="30" spans="4:20" x14ac:dyDescent="0.35">
      <c r="D30" s="2">
        <v>46258</v>
      </c>
      <c r="E30" s="3" t="s">
        <v>24</v>
      </c>
      <c r="F30" s="1" t="s">
        <v>20</v>
      </c>
      <c r="G30" s="1" t="s">
        <v>21</v>
      </c>
      <c r="H30" s="1" t="s">
        <v>22</v>
      </c>
      <c r="I30" s="1" t="s">
        <v>3</v>
      </c>
      <c r="J30" s="1" t="s">
        <v>4</v>
      </c>
      <c r="K30" s="1" t="s">
        <v>5</v>
      </c>
      <c r="L30" s="1" t="s">
        <v>17</v>
      </c>
      <c r="M30" s="1" t="s">
        <v>18</v>
      </c>
      <c r="N30" s="1" t="s">
        <v>19</v>
      </c>
      <c r="O30" s="1" t="s">
        <v>0</v>
      </c>
      <c r="P30" s="1" t="s">
        <v>1</v>
      </c>
      <c r="Q30" s="1" t="s">
        <v>2</v>
      </c>
      <c r="R30" s="1"/>
      <c r="S30" s="1"/>
      <c r="T30" s="1"/>
    </row>
    <row r="31" spans="4:20" x14ac:dyDescent="0.35">
      <c r="D31" s="2">
        <v>46259</v>
      </c>
      <c r="E31" s="3" t="s">
        <v>25</v>
      </c>
      <c r="F31" s="1" t="s">
        <v>0</v>
      </c>
      <c r="G31" s="1" t="s">
        <v>1</v>
      </c>
      <c r="H31" s="1" t="s">
        <v>2</v>
      </c>
      <c r="I31" s="1" t="s">
        <v>3</v>
      </c>
      <c r="J31" s="1" t="s">
        <v>4</v>
      </c>
      <c r="K31" s="1" t="s">
        <v>5</v>
      </c>
      <c r="L31" s="1" t="s">
        <v>17</v>
      </c>
      <c r="M31" s="1" t="s">
        <v>18</v>
      </c>
      <c r="N31" s="1" t="s">
        <v>19</v>
      </c>
      <c r="O31" s="1" t="s">
        <v>20</v>
      </c>
      <c r="P31" s="1" t="s">
        <v>21</v>
      </c>
      <c r="Q31" s="1" t="s">
        <v>22</v>
      </c>
      <c r="R31" s="1"/>
      <c r="S31" s="1"/>
      <c r="T31" s="1"/>
    </row>
    <row r="32" spans="4:20" x14ac:dyDescent="0.35">
      <c r="D32" s="2">
        <v>46260</v>
      </c>
      <c r="E32" s="3" t="s">
        <v>26</v>
      </c>
      <c r="F32" s="1" t="s">
        <v>0</v>
      </c>
      <c r="G32" s="1" t="s">
        <v>1</v>
      </c>
      <c r="H32" s="1" t="s">
        <v>2</v>
      </c>
      <c r="I32" s="1" t="s">
        <v>3</v>
      </c>
      <c r="J32" s="1" t="s">
        <v>4</v>
      </c>
      <c r="K32" s="1" t="s">
        <v>5</v>
      </c>
      <c r="L32" s="1" t="s">
        <v>17</v>
      </c>
      <c r="M32" s="1" t="s">
        <v>18</v>
      </c>
      <c r="N32" s="1" t="s">
        <v>19</v>
      </c>
      <c r="O32" s="1" t="s">
        <v>20</v>
      </c>
      <c r="P32" s="1" t="s">
        <v>21</v>
      </c>
      <c r="Q32" s="1" t="s">
        <v>22</v>
      </c>
      <c r="R32" s="1"/>
      <c r="S32" s="1"/>
      <c r="T32" s="1"/>
    </row>
    <row r="33" spans="3:20" x14ac:dyDescent="0.35">
      <c r="D33" s="2">
        <v>46261</v>
      </c>
      <c r="E33" s="3" t="s">
        <v>27</v>
      </c>
      <c r="F33" s="1" t="s">
        <v>0</v>
      </c>
      <c r="G33" s="1" t="s">
        <v>1</v>
      </c>
      <c r="H33" s="1" t="s">
        <v>2</v>
      </c>
      <c r="I33" s="1" t="s">
        <v>3</v>
      </c>
      <c r="J33" s="1" t="s">
        <v>4</v>
      </c>
      <c r="K33" s="1" t="s">
        <v>5</v>
      </c>
      <c r="L33" s="1" t="s">
        <v>20</v>
      </c>
      <c r="M33" s="1" t="s">
        <v>21</v>
      </c>
      <c r="N33" s="1" t="s">
        <v>22</v>
      </c>
      <c r="O33" s="1" t="s">
        <v>17</v>
      </c>
      <c r="P33" s="1" t="s">
        <v>18</v>
      </c>
      <c r="Q33" s="1" t="s">
        <v>19</v>
      </c>
      <c r="R33" s="1"/>
      <c r="S33" s="1"/>
      <c r="T33" s="1"/>
    </row>
    <row r="34" spans="3:20" x14ac:dyDescent="0.35">
      <c r="D34" s="2">
        <v>46262</v>
      </c>
      <c r="E34" s="3" t="s">
        <v>28</v>
      </c>
      <c r="F34" s="1" t="s">
        <v>0</v>
      </c>
      <c r="G34" s="1" t="s">
        <v>1</v>
      </c>
      <c r="H34" s="1" t="s">
        <v>2</v>
      </c>
      <c r="I34" s="1" t="s">
        <v>3</v>
      </c>
      <c r="J34" s="1" t="s">
        <v>4</v>
      </c>
      <c r="K34" s="1" t="s">
        <v>5</v>
      </c>
      <c r="L34" s="1" t="s">
        <v>20</v>
      </c>
      <c r="M34" s="1" t="s">
        <v>21</v>
      </c>
      <c r="N34" s="1" t="s">
        <v>22</v>
      </c>
      <c r="O34" s="1" t="s">
        <v>17</v>
      </c>
      <c r="P34" s="1" t="s">
        <v>18</v>
      </c>
      <c r="Q34" s="1" t="s">
        <v>19</v>
      </c>
      <c r="R34" s="1"/>
      <c r="S34" s="1"/>
      <c r="T34" s="1"/>
    </row>
    <row r="35" spans="3:20" x14ac:dyDescent="0.35">
      <c r="D35" s="2">
        <v>46263</v>
      </c>
      <c r="E35" s="3" t="s">
        <v>16</v>
      </c>
      <c r="F35" s="1" t="s">
        <v>0</v>
      </c>
      <c r="G35" s="1" t="s">
        <v>1</v>
      </c>
      <c r="H35" s="1" t="s">
        <v>2</v>
      </c>
      <c r="I35" s="1" t="s">
        <v>17</v>
      </c>
      <c r="J35" s="1" t="s">
        <v>18</v>
      </c>
      <c r="K35" s="1" t="s">
        <v>19</v>
      </c>
      <c r="L35" s="1" t="s">
        <v>20</v>
      </c>
      <c r="M35" s="1" t="s">
        <v>21</v>
      </c>
      <c r="N35" s="1" t="s">
        <v>22</v>
      </c>
      <c r="O35" s="1" t="s">
        <v>3</v>
      </c>
      <c r="P35" s="1" t="s">
        <v>4</v>
      </c>
      <c r="Q35" s="1" t="s">
        <v>5</v>
      </c>
      <c r="R35" s="1"/>
      <c r="S35" s="1"/>
      <c r="T35" s="1"/>
    </row>
    <row r="36" spans="3:20" x14ac:dyDescent="0.35">
      <c r="D36" s="2">
        <v>46264</v>
      </c>
      <c r="E36" s="3" t="s">
        <v>23</v>
      </c>
      <c r="F36" s="1" t="s">
        <v>0</v>
      </c>
      <c r="G36" s="1" t="s">
        <v>1</v>
      </c>
      <c r="H36" s="1" t="s">
        <v>2</v>
      </c>
      <c r="I36" s="1" t="s">
        <v>17</v>
      </c>
      <c r="J36" s="1" t="s">
        <v>18</v>
      </c>
      <c r="K36" s="1" t="s">
        <v>19</v>
      </c>
      <c r="L36" s="1" t="s">
        <v>20</v>
      </c>
      <c r="M36" s="1" t="s">
        <v>21</v>
      </c>
      <c r="N36" s="1" t="s">
        <v>22</v>
      </c>
      <c r="O36" s="1" t="s">
        <v>3</v>
      </c>
      <c r="P36" s="1" t="s">
        <v>4</v>
      </c>
      <c r="Q36" s="1" t="s">
        <v>5</v>
      </c>
      <c r="R36" s="1"/>
      <c r="S36" s="1"/>
      <c r="T36" s="1"/>
    </row>
    <row r="37" spans="3:20" x14ac:dyDescent="0.35">
      <c r="D37" s="2">
        <v>46265</v>
      </c>
      <c r="E37" s="3" t="s">
        <v>24</v>
      </c>
      <c r="F37" s="1" t="s">
        <v>3</v>
      </c>
      <c r="G37" s="1" t="s">
        <v>4</v>
      </c>
      <c r="H37" s="1" t="s">
        <v>5</v>
      </c>
      <c r="I37" s="1" t="s">
        <v>17</v>
      </c>
      <c r="J37" s="1" t="s">
        <v>18</v>
      </c>
      <c r="K37" s="1" t="s">
        <v>19</v>
      </c>
      <c r="L37" s="1" t="s">
        <v>20</v>
      </c>
      <c r="M37" s="1" t="s">
        <v>21</v>
      </c>
      <c r="N37" s="1" t="s">
        <v>22</v>
      </c>
      <c r="O37" s="1" t="s">
        <v>0</v>
      </c>
      <c r="P37" s="1" t="s">
        <v>1</v>
      </c>
      <c r="Q37" s="1" t="s">
        <v>2</v>
      </c>
      <c r="R37" s="1"/>
      <c r="S37" s="1"/>
      <c r="T37" s="1"/>
    </row>
    <row r="43" spans="3:20" x14ac:dyDescent="0.35">
      <c r="I43">
        <v>1</v>
      </c>
      <c r="J43">
        <v>2</v>
      </c>
      <c r="K43">
        <v>3</v>
      </c>
      <c r="L43">
        <v>4</v>
      </c>
      <c r="M43">
        <v>5</v>
      </c>
      <c r="N43">
        <v>6</v>
      </c>
    </row>
    <row r="44" spans="3:20" x14ac:dyDescent="0.35">
      <c r="C44">
        <v>0</v>
      </c>
      <c r="D44">
        <v>1</v>
      </c>
      <c r="E44">
        <v>2</v>
      </c>
      <c r="F44">
        <v>3</v>
      </c>
      <c r="I44">
        <f>MOD(I43 + 2,7)</f>
        <v>3</v>
      </c>
      <c r="J44">
        <v>4</v>
      </c>
      <c r="K44">
        <v>5</v>
      </c>
      <c r="L44">
        <f>MOD(L43 + 2,7)</f>
        <v>6</v>
      </c>
      <c r="M44">
        <v>1</v>
      </c>
      <c r="N44">
        <v>2</v>
      </c>
    </row>
    <row r="45" spans="3:20" x14ac:dyDescent="0.35">
      <c r="C45">
        <f>MOD((C44+1),4)</f>
        <v>1</v>
      </c>
      <c r="D45">
        <f t="shared" ref="D45:F45" si="0">MOD((D44+1),4)</f>
        <v>2</v>
      </c>
      <c r="E45">
        <f t="shared" si="0"/>
        <v>3</v>
      </c>
      <c r="F45">
        <f t="shared" si="0"/>
        <v>0</v>
      </c>
      <c r="I45">
        <f>MOD(I43 + 3,6)+1</f>
        <v>5</v>
      </c>
      <c r="J45">
        <f t="shared" ref="J45:N45" si="1">MOD(J43 + 3,6)+1</f>
        <v>6</v>
      </c>
      <c r="K45">
        <f t="shared" si="1"/>
        <v>1</v>
      </c>
      <c r="L45">
        <f t="shared" si="1"/>
        <v>2</v>
      </c>
      <c r="M45">
        <f t="shared" si="1"/>
        <v>3</v>
      </c>
      <c r="N45">
        <f t="shared" si="1"/>
        <v>4</v>
      </c>
    </row>
    <row r="46" spans="3:20" x14ac:dyDescent="0.35">
      <c r="C46">
        <f>MOD((C44+2),4)</f>
        <v>2</v>
      </c>
      <c r="D46">
        <f t="shared" ref="D46:F46" si="2">MOD((D44+2),4)</f>
        <v>3</v>
      </c>
      <c r="E46">
        <f t="shared" si="2"/>
        <v>0</v>
      </c>
      <c r="F46">
        <f t="shared" si="2"/>
        <v>1</v>
      </c>
    </row>
    <row r="47" spans="3:20" x14ac:dyDescent="0.35">
      <c r="C47">
        <f>MOD((C44+3),4)</f>
        <v>3</v>
      </c>
      <c r="D47">
        <f t="shared" ref="D47:F47" si="3">MOD((D44+3),4)</f>
        <v>0</v>
      </c>
      <c r="E47">
        <f t="shared" si="3"/>
        <v>1</v>
      </c>
      <c r="F47">
        <f t="shared" si="3"/>
        <v>2</v>
      </c>
      <c r="L47">
        <v>5</v>
      </c>
    </row>
    <row r="48" spans="3:20" x14ac:dyDescent="0.35">
      <c r="I48">
        <v>3</v>
      </c>
      <c r="J48">
        <v>1</v>
      </c>
      <c r="L48">
        <f>MOD(L47 + 3,7)</f>
        <v>1</v>
      </c>
    </row>
    <row r="49" spans="3:12" x14ac:dyDescent="0.35">
      <c r="C49">
        <v>1</v>
      </c>
      <c r="D49">
        <v>2</v>
      </c>
      <c r="E49">
        <v>3</v>
      </c>
      <c r="F49">
        <v>0</v>
      </c>
      <c r="I49">
        <v>5</v>
      </c>
      <c r="J49">
        <v>3</v>
      </c>
      <c r="L49">
        <f>MOD(L47 + 5,7)</f>
        <v>3</v>
      </c>
    </row>
    <row r="50" spans="3:12" x14ac:dyDescent="0.35">
      <c r="C50">
        <v>2</v>
      </c>
      <c r="D50">
        <v>3</v>
      </c>
      <c r="E50">
        <v>0</v>
      </c>
      <c r="F50">
        <v>1</v>
      </c>
    </row>
    <row r="51" spans="3:12" x14ac:dyDescent="0.35">
      <c r="C51">
        <v>3</v>
      </c>
      <c r="D51">
        <v>0</v>
      </c>
      <c r="E51">
        <v>1</v>
      </c>
      <c r="F51">
        <v>2</v>
      </c>
    </row>
    <row r="53" spans="3:12" x14ac:dyDescent="0.35">
      <c r="C53">
        <v>0</v>
      </c>
      <c r="D53">
        <v>2</v>
      </c>
      <c r="E53">
        <v>4</v>
      </c>
      <c r="F53">
        <v>6</v>
      </c>
    </row>
    <row r="54" spans="3:12" x14ac:dyDescent="0.35">
      <c r="C54">
        <f>MOD(C53+2,7)</f>
        <v>2</v>
      </c>
      <c r="D54">
        <f t="shared" ref="D54:F54" si="4">MOD(D53+2,4)</f>
        <v>0</v>
      </c>
      <c r="E54">
        <f t="shared" si="4"/>
        <v>2</v>
      </c>
      <c r="F54">
        <f t="shared" si="4"/>
        <v>0</v>
      </c>
    </row>
    <row r="55" spans="3:12" x14ac:dyDescent="0.35">
      <c r="C55">
        <f>MOD(C53+4,7)</f>
        <v>4</v>
      </c>
      <c r="D55">
        <f t="shared" ref="D55:F55" si="5">MOD(D53+4,7)</f>
        <v>6</v>
      </c>
      <c r="E55">
        <f t="shared" si="5"/>
        <v>1</v>
      </c>
      <c r="F55">
        <f t="shared" si="5"/>
        <v>3</v>
      </c>
    </row>
    <row r="56" spans="3:12" x14ac:dyDescent="0.35">
      <c r="C56">
        <f>MOD(C53+6,7)</f>
        <v>6</v>
      </c>
      <c r="D56">
        <f t="shared" ref="D56:F56" si="6">MOD(D53+6,7)</f>
        <v>1</v>
      </c>
      <c r="E56">
        <f t="shared" si="6"/>
        <v>3</v>
      </c>
      <c r="F56">
        <f t="shared" si="6"/>
        <v>5</v>
      </c>
    </row>
    <row r="59" spans="3:12" x14ac:dyDescent="0.35">
      <c r="C59">
        <v>2</v>
      </c>
      <c r="D59">
        <v>4</v>
      </c>
      <c r="E59">
        <v>6</v>
      </c>
      <c r="F59">
        <v>0</v>
      </c>
    </row>
    <row r="60" spans="3:12" x14ac:dyDescent="0.35">
      <c r="C60">
        <v>4</v>
      </c>
      <c r="D60">
        <v>6</v>
      </c>
      <c r="E60">
        <v>0</v>
      </c>
      <c r="F60">
        <v>2</v>
      </c>
    </row>
    <row r="61" spans="3:12" x14ac:dyDescent="0.35">
      <c r="C61">
        <v>6</v>
      </c>
      <c r="D61">
        <v>0</v>
      </c>
      <c r="E61">
        <v>2</v>
      </c>
      <c r="F61">
        <v>4</v>
      </c>
    </row>
  </sheetData>
  <mergeCells count="6">
    <mergeCell ref="R5:T5"/>
    <mergeCell ref="D5:E5"/>
    <mergeCell ref="F5:H5"/>
    <mergeCell ref="I5:K5"/>
    <mergeCell ref="L5:N5"/>
    <mergeCell ref="O5:Q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9C8A-20B7-4BD8-AC90-189B0DB1623A}">
  <dimension ref="B2:R55"/>
  <sheetViews>
    <sheetView showGridLines="0" zoomScale="85" zoomScaleNormal="85" workbookViewId="0">
      <selection activeCell="E3" sqref="E3"/>
    </sheetView>
  </sheetViews>
  <sheetFormatPr defaultColWidth="8.640625" defaultRowHeight="15.5" x14ac:dyDescent="0.35"/>
  <cols>
    <col min="1" max="14" width="8.640625" style="4"/>
    <col min="15" max="15" width="7.140625" style="4" bestFit="1" customWidth="1"/>
    <col min="16" max="16384" width="8.640625" style="4"/>
  </cols>
  <sheetData>
    <row r="2" spans="2:18" ht="16" thickBot="1" x14ac:dyDescent="0.4">
      <c r="B2" s="4" t="s">
        <v>31</v>
      </c>
      <c r="C2" s="13" t="s">
        <v>32</v>
      </c>
      <c r="D2" s="13"/>
      <c r="E2" s="13"/>
      <c r="F2" s="13" t="s">
        <v>33</v>
      </c>
      <c r="G2" s="13"/>
      <c r="H2" s="13"/>
      <c r="I2" s="13" t="s">
        <v>34</v>
      </c>
      <c r="J2" s="13"/>
      <c r="K2" s="13"/>
      <c r="L2" s="13" t="s">
        <v>35</v>
      </c>
      <c r="M2" s="13"/>
      <c r="N2" s="13"/>
      <c r="O2" s="13" t="s">
        <v>50</v>
      </c>
      <c r="P2" s="13"/>
      <c r="Q2" s="13"/>
      <c r="R2" s="13" t="s">
        <v>51</v>
      </c>
    </row>
    <row r="3" spans="2:18" ht="16" thickBot="1" x14ac:dyDescent="0.4">
      <c r="B3" s="14"/>
      <c r="C3" s="14"/>
      <c r="D3" s="14" t="s">
        <v>36</v>
      </c>
      <c r="E3" s="14" t="s">
        <v>37</v>
      </c>
      <c r="F3" s="14" t="s">
        <v>38</v>
      </c>
      <c r="G3" s="14" t="s">
        <v>36</v>
      </c>
      <c r="H3" s="14" t="s">
        <v>37</v>
      </c>
      <c r="I3" s="14" t="s">
        <v>38</v>
      </c>
      <c r="J3" s="14" t="s">
        <v>36</v>
      </c>
      <c r="K3" s="14" t="s">
        <v>37</v>
      </c>
      <c r="L3" s="14" t="s">
        <v>38</v>
      </c>
      <c r="M3" s="14" t="s">
        <v>36</v>
      </c>
      <c r="N3" s="14" t="s">
        <v>37</v>
      </c>
      <c r="O3" s="14" t="s">
        <v>38</v>
      </c>
      <c r="P3" s="14" t="s">
        <v>36</v>
      </c>
      <c r="Q3" s="14" t="s">
        <v>37</v>
      </c>
      <c r="R3" s="14" t="s">
        <v>38</v>
      </c>
    </row>
    <row r="4" spans="2:18" x14ac:dyDescent="0.35">
      <c r="B4" s="2">
        <v>46235</v>
      </c>
      <c r="C4" s="4" t="s">
        <v>39</v>
      </c>
      <c r="D4" s="4" t="s">
        <v>52</v>
      </c>
      <c r="E4" s="4" t="s">
        <v>56</v>
      </c>
      <c r="F4" s="4" t="s">
        <v>40</v>
      </c>
      <c r="G4" s="4" t="s">
        <v>53</v>
      </c>
      <c r="H4" s="4" t="s">
        <v>57</v>
      </c>
      <c r="I4" s="4" t="s">
        <v>41</v>
      </c>
      <c r="J4" s="4" t="s">
        <v>54</v>
      </c>
      <c r="K4" s="4" t="s">
        <v>58</v>
      </c>
      <c r="L4" s="4" t="s">
        <v>42</v>
      </c>
      <c r="M4" s="4" t="s">
        <v>55</v>
      </c>
      <c r="N4" s="4" t="s">
        <v>59</v>
      </c>
      <c r="O4" s="4" t="s">
        <v>43</v>
      </c>
    </row>
    <row r="5" spans="2:18" x14ac:dyDescent="0.35">
      <c r="B5" s="2">
        <v>46236</v>
      </c>
      <c r="C5" s="4" t="s">
        <v>44</v>
      </c>
      <c r="D5" s="4" t="s">
        <v>52</v>
      </c>
      <c r="E5" s="4" t="s">
        <v>56</v>
      </c>
      <c r="F5" s="4" t="s">
        <v>40</v>
      </c>
      <c r="G5" s="4" t="s">
        <v>53</v>
      </c>
      <c r="H5" s="4" t="s">
        <v>57</v>
      </c>
      <c r="I5" s="4" t="s">
        <v>41</v>
      </c>
      <c r="J5" s="4" t="s">
        <v>54</v>
      </c>
      <c r="K5" s="4" t="s">
        <v>58</v>
      </c>
      <c r="L5" s="4" t="s">
        <v>42</v>
      </c>
      <c r="M5" s="4" t="s">
        <v>55</v>
      </c>
      <c r="N5" s="4" t="s">
        <v>59</v>
      </c>
      <c r="O5" s="4" t="s">
        <v>43</v>
      </c>
    </row>
    <row r="6" spans="2:18" x14ac:dyDescent="0.35">
      <c r="B6" s="2">
        <v>46237</v>
      </c>
      <c r="C6" s="4" t="s">
        <v>45</v>
      </c>
      <c r="D6" s="4" t="s">
        <v>52</v>
      </c>
      <c r="E6" s="4" t="s">
        <v>56</v>
      </c>
      <c r="F6" s="4" t="s">
        <v>40</v>
      </c>
      <c r="G6" s="4" t="s">
        <v>53</v>
      </c>
      <c r="H6" s="4" t="s">
        <v>57</v>
      </c>
      <c r="I6" s="4" t="s">
        <v>41</v>
      </c>
      <c r="J6" s="4" t="s">
        <v>55</v>
      </c>
      <c r="K6" s="4" t="s">
        <v>59</v>
      </c>
      <c r="L6" s="4" t="s">
        <v>43</v>
      </c>
      <c r="M6" s="4" t="s">
        <v>54</v>
      </c>
      <c r="N6" s="4" t="s">
        <v>58</v>
      </c>
      <c r="O6" s="4" t="s">
        <v>42</v>
      </c>
    </row>
    <row r="7" spans="2:18" x14ac:dyDescent="0.35">
      <c r="B7" s="2">
        <v>46238</v>
      </c>
      <c r="C7" s="4" t="s">
        <v>46</v>
      </c>
      <c r="D7" s="4" t="s">
        <v>52</v>
      </c>
      <c r="E7" s="4" t="s">
        <v>56</v>
      </c>
      <c r="F7" s="4" t="s">
        <v>40</v>
      </c>
      <c r="G7" s="4" t="s">
        <v>53</v>
      </c>
      <c r="H7" s="4" t="s">
        <v>57</v>
      </c>
      <c r="I7" s="4" t="s">
        <v>41</v>
      </c>
      <c r="J7" s="4" t="s">
        <v>55</v>
      </c>
      <c r="K7" s="4" t="s">
        <v>59</v>
      </c>
      <c r="L7" s="4" t="s">
        <v>43</v>
      </c>
      <c r="M7" s="4" t="s">
        <v>54</v>
      </c>
      <c r="N7" s="4" t="s">
        <v>58</v>
      </c>
      <c r="O7" s="4" t="s">
        <v>42</v>
      </c>
    </row>
    <row r="8" spans="2:18" x14ac:dyDescent="0.35">
      <c r="B8" s="2">
        <v>46239</v>
      </c>
      <c r="C8" s="4" t="s">
        <v>47</v>
      </c>
      <c r="D8" s="4" t="s">
        <v>52</v>
      </c>
      <c r="E8" s="4" t="s">
        <v>56</v>
      </c>
      <c r="F8" s="4" t="s">
        <v>40</v>
      </c>
      <c r="G8" s="4" t="s">
        <v>54</v>
      </c>
      <c r="H8" s="4" t="s">
        <v>58</v>
      </c>
      <c r="I8" s="4" t="s">
        <v>42</v>
      </c>
      <c r="J8" s="4" t="s">
        <v>55</v>
      </c>
      <c r="K8" s="4" t="s">
        <v>59</v>
      </c>
      <c r="L8" s="4" t="s">
        <v>43</v>
      </c>
      <c r="M8" s="4" t="s">
        <v>53</v>
      </c>
      <c r="N8" s="4" t="s">
        <v>57</v>
      </c>
      <c r="O8" s="4" t="s">
        <v>41</v>
      </c>
    </row>
    <row r="9" spans="2:18" ht="16" thickBot="1" x14ac:dyDescent="0.4">
      <c r="B9" s="16">
        <v>46240</v>
      </c>
      <c r="C9" s="13" t="s">
        <v>48</v>
      </c>
      <c r="D9" s="13" t="s">
        <v>52</v>
      </c>
      <c r="E9" s="13" t="s">
        <v>56</v>
      </c>
      <c r="F9" s="13" t="s">
        <v>40</v>
      </c>
      <c r="G9" s="13" t="s">
        <v>54</v>
      </c>
      <c r="H9" s="13" t="s">
        <v>58</v>
      </c>
      <c r="I9" s="13" t="s">
        <v>42</v>
      </c>
      <c r="J9" s="13" t="s">
        <v>55</v>
      </c>
      <c r="K9" s="13" t="s">
        <v>59</v>
      </c>
      <c r="L9" s="13" t="s">
        <v>43</v>
      </c>
      <c r="M9" s="13" t="s">
        <v>53</v>
      </c>
      <c r="N9" s="13" t="s">
        <v>57</v>
      </c>
      <c r="O9" s="13" t="s">
        <v>41</v>
      </c>
    </row>
    <row r="10" spans="2:18" x14ac:dyDescent="0.35">
      <c r="B10" s="2">
        <v>46241</v>
      </c>
      <c r="C10" s="4" t="s">
        <v>49</v>
      </c>
      <c r="D10" s="4" t="s">
        <v>53</v>
      </c>
      <c r="E10" s="4" t="s">
        <v>57</v>
      </c>
      <c r="F10" s="4" t="s">
        <v>41</v>
      </c>
      <c r="G10" s="4" t="s">
        <v>54</v>
      </c>
      <c r="H10" s="4" t="s">
        <v>58</v>
      </c>
      <c r="I10" s="4" t="s">
        <v>42</v>
      </c>
      <c r="J10" s="4" t="s">
        <v>55</v>
      </c>
      <c r="K10" s="4" t="s">
        <v>59</v>
      </c>
      <c r="L10" s="4" t="s">
        <v>43</v>
      </c>
      <c r="M10" s="4" t="s">
        <v>52</v>
      </c>
      <c r="N10" s="4" t="s">
        <v>56</v>
      </c>
      <c r="O10" s="4" t="s">
        <v>40</v>
      </c>
    </row>
    <row r="11" spans="2:18" x14ac:dyDescent="0.35">
      <c r="B11" s="2">
        <v>46242</v>
      </c>
      <c r="C11" s="4" t="s">
        <v>39</v>
      </c>
      <c r="D11" s="4" t="s">
        <v>53</v>
      </c>
      <c r="E11" s="4" t="s">
        <v>57</v>
      </c>
      <c r="F11" s="4" t="s">
        <v>41</v>
      </c>
      <c r="G11" s="4" t="s">
        <v>54</v>
      </c>
      <c r="H11" s="4" t="s">
        <v>58</v>
      </c>
      <c r="I11" s="4" t="s">
        <v>42</v>
      </c>
      <c r="J11" s="4" t="s">
        <v>55</v>
      </c>
      <c r="K11" s="4" t="s">
        <v>59</v>
      </c>
      <c r="L11" s="4" t="s">
        <v>43</v>
      </c>
      <c r="M11" s="4" t="s">
        <v>52</v>
      </c>
      <c r="N11" s="4" t="s">
        <v>56</v>
      </c>
      <c r="O11" s="4" t="s">
        <v>40</v>
      </c>
    </row>
    <row r="12" spans="2:18" x14ac:dyDescent="0.35">
      <c r="B12" s="2">
        <v>46243</v>
      </c>
      <c r="C12" s="4" t="s">
        <v>44</v>
      </c>
      <c r="D12" s="4" t="s">
        <v>53</v>
      </c>
      <c r="E12" s="4" t="s">
        <v>57</v>
      </c>
      <c r="F12" s="4" t="s">
        <v>41</v>
      </c>
      <c r="G12" s="4" t="s">
        <v>54</v>
      </c>
      <c r="H12" s="4" t="s">
        <v>58</v>
      </c>
      <c r="I12" s="4" t="s">
        <v>42</v>
      </c>
      <c r="J12" s="4" t="s">
        <v>52</v>
      </c>
      <c r="K12" s="4" t="s">
        <v>56</v>
      </c>
      <c r="L12" s="4" t="s">
        <v>40</v>
      </c>
      <c r="M12" s="4" t="s">
        <v>55</v>
      </c>
      <c r="N12" s="4" t="s">
        <v>59</v>
      </c>
      <c r="O12" s="4" t="s">
        <v>43</v>
      </c>
    </row>
    <row r="13" spans="2:18" x14ac:dyDescent="0.35">
      <c r="B13" s="2">
        <v>46244</v>
      </c>
      <c r="C13" s="4" t="s">
        <v>45</v>
      </c>
      <c r="D13" s="4" t="s">
        <v>53</v>
      </c>
      <c r="E13" s="4" t="s">
        <v>57</v>
      </c>
      <c r="F13" s="4" t="s">
        <v>41</v>
      </c>
      <c r="G13" s="4" t="s">
        <v>54</v>
      </c>
      <c r="H13" s="4" t="s">
        <v>58</v>
      </c>
      <c r="I13" s="4" t="s">
        <v>42</v>
      </c>
      <c r="J13" s="4" t="s">
        <v>52</v>
      </c>
      <c r="K13" s="4" t="s">
        <v>56</v>
      </c>
      <c r="L13" s="4" t="s">
        <v>40</v>
      </c>
      <c r="M13" s="4" t="s">
        <v>55</v>
      </c>
      <c r="N13" s="4" t="s">
        <v>59</v>
      </c>
      <c r="O13" s="4" t="s">
        <v>43</v>
      </c>
    </row>
    <row r="14" spans="2:18" x14ac:dyDescent="0.35">
      <c r="B14" s="2">
        <v>46245</v>
      </c>
      <c r="C14" s="4" t="s">
        <v>46</v>
      </c>
      <c r="D14" s="4" t="s">
        <v>53</v>
      </c>
      <c r="E14" s="4" t="s">
        <v>57</v>
      </c>
      <c r="F14" s="4" t="s">
        <v>41</v>
      </c>
      <c r="G14" s="4" t="s">
        <v>55</v>
      </c>
      <c r="H14" s="4" t="s">
        <v>59</v>
      </c>
      <c r="I14" s="4" t="s">
        <v>43</v>
      </c>
      <c r="J14" s="4" t="s">
        <v>52</v>
      </c>
      <c r="K14" s="4" t="s">
        <v>56</v>
      </c>
      <c r="L14" s="4" t="s">
        <v>40</v>
      </c>
      <c r="M14" s="4" t="s">
        <v>54</v>
      </c>
      <c r="N14" s="4" t="s">
        <v>58</v>
      </c>
      <c r="O14" s="4" t="s">
        <v>42</v>
      </c>
    </row>
    <row r="15" spans="2:18" ht="16" thickBot="1" x14ac:dyDescent="0.4">
      <c r="B15" s="16">
        <v>46246</v>
      </c>
      <c r="C15" s="13" t="s">
        <v>47</v>
      </c>
      <c r="D15" s="13" t="s">
        <v>53</v>
      </c>
      <c r="E15" s="13" t="s">
        <v>57</v>
      </c>
      <c r="F15" s="13" t="s">
        <v>41</v>
      </c>
      <c r="G15" s="13" t="s">
        <v>55</v>
      </c>
      <c r="H15" s="13" t="s">
        <v>59</v>
      </c>
      <c r="I15" s="13" t="s">
        <v>43</v>
      </c>
      <c r="J15" s="13" t="s">
        <v>52</v>
      </c>
      <c r="K15" s="13" t="s">
        <v>56</v>
      </c>
      <c r="L15" s="13" t="s">
        <v>40</v>
      </c>
      <c r="M15" s="13" t="s">
        <v>54</v>
      </c>
      <c r="N15" s="13" t="s">
        <v>58</v>
      </c>
      <c r="O15" s="13" t="s">
        <v>42</v>
      </c>
    </row>
    <row r="16" spans="2:18" x14ac:dyDescent="0.35">
      <c r="B16" s="2">
        <v>46247</v>
      </c>
      <c r="C16" s="4" t="s">
        <v>48</v>
      </c>
      <c r="D16" s="4" t="s">
        <v>54</v>
      </c>
      <c r="E16" s="4" t="s">
        <v>58</v>
      </c>
      <c r="F16" s="4" t="s">
        <v>42</v>
      </c>
      <c r="G16" s="4" t="s">
        <v>55</v>
      </c>
      <c r="H16" s="4" t="s">
        <v>59</v>
      </c>
      <c r="I16" s="4" t="s">
        <v>43</v>
      </c>
      <c r="J16" s="4" t="s">
        <v>52</v>
      </c>
      <c r="K16" s="4" t="s">
        <v>56</v>
      </c>
      <c r="L16" s="4" t="s">
        <v>40</v>
      </c>
      <c r="M16" s="4" t="s">
        <v>53</v>
      </c>
      <c r="N16" s="4" t="s">
        <v>57</v>
      </c>
      <c r="O16" s="4" t="s">
        <v>41</v>
      </c>
    </row>
    <row r="17" spans="2:15" x14ac:dyDescent="0.35">
      <c r="B17" s="2">
        <v>46248</v>
      </c>
      <c r="C17" s="4" t="s">
        <v>49</v>
      </c>
      <c r="D17" s="4" t="s">
        <v>54</v>
      </c>
      <c r="E17" s="4" t="s">
        <v>58</v>
      </c>
      <c r="F17" s="4" t="s">
        <v>42</v>
      </c>
      <c r="G17" s="4" t="s">
        <v>55</v>
      </c>
      <c r="H17" s="4" t="s">
        <v>59</v>
      </c>
      <c r="I17" s="4" t="s">
        <v>43</v>
      </c>
      <c r="J17" s="4" t="s">
        <v>52</v>
      </c>
      <c r="K17" s="4" t="s">
        <v>56</v>
      </c>
      <c r="L17" s="4" t="s">
        <v>40</v>
      </c>
      <c r="M17" s="4" t="s">
        <v>53</v>
      </c>
      <c r="N17" s="4" t="s">
        <v>57</v>
      </c>
      <c r="O17" s="4" t="s">
        <v>41</v>
      </c>
    </row>
    <row r="18" spans="2:15" x14ac:dyDescent="0.35">
      <c r="B18" s="2">
        <v>46249</v>
      </c>
      <c r="C18" s="4" t="s">
        <v>39</v>
      </c>
      <c r="D18" s="4" t="s">
        <v>54</v>
      </c>
      <c r="E18" s="4" t="s">
        <v>58</v>
      </c>
      <c r="F18" s="4" t="s">
        <v>42</v>
      </c>
      <c r="G18" s="4" t="s">
        <v>55</v>
      </c>
      <c r="H18" s="4" t="s">
        <v>59</v>
      </c>
      <c r="I18" s="4" t="s">
        <v>43</v>
      </c>
      <c r="J18" s="4" t="s">
        <v>53</v>
      </c>
      <c r="K18" s="4" t="s">
        <v>57</v>
      </c>
      <c r="L18" s="4" t="s">
        <v>41</v>
      </c>
      <c r="M18" s="4" t="s">
        <v>52</v>
      </c>
      <c r="N18" s="4" t="s">
        <v>56</v>
      </c>
      <c r="O18" s="4" t="s">
        <v>40</v>
      </c>
    </row>
    <row r="19" spans="2:15" x14ac:dyDescent="0.35">
      <c r="B19" s="2">
        <v>46250</v>
      </c>
      <c r="C19" s="4" t="s">
        <v>44</v>
      </c>
      <c r="D19" s="4" t="s">
        <v>54</v>
      </c>
      <c r="E19" s="4" t="s">
        <v>58</v>
      </c>
      <c r="F19" s="4" t="s">
        <v>42</v>
      </c>
      <c r="G19" s="4" t="s">
        <v>55</v>
      </c>
      <c r="H19" s="4" t="s">
        <v>59</v>
      </c>
      <c r="I19" s="4" t="s">
        <v>43</v>
      </c>
      <c r="J19" s="4" t="s">
        <v>53</v>
      </c>
      <c r="K19" s="4" t="s">
        <v>57</v>
      </c>
      <c r="L19" s="4" t="s">
        <v>41</v>
      </c>
      <c r="M19" s="4" t="s">
        <v>52</v>
      </c>
      <c r="N19" s="4" t="s">
        <v>56</v>
      </c>
      <c r="O19" s="4" t="s">
        <v>40</v>
      </c>
    </row>
    <row r="20" spans="2:15" x14ac:dyDescent="0.35">
      <c r="B20" s="2">
        <v>46251</v>
      </c>
      <c r="C20" s="4" t="s">
        <v>45</v>
      </c>
      <c r="D20" s="4" t="s">
        <v>54</v>
      </c>
      <c r="E20" s="4" t="s">
        <v>58</v>
      </c>
      <c r="F20" s="4" t="s">
        <v>42</v>
      </c>
      <c r="G20" s="4" t="s">
        <v>52</v>
      </c>
      <c r="H20" s="4" t="s">
        <v>56</v>
      </c>
      <c r="I20" s="4" t="s">
        <v>40</v>
      </c>
      <c r="J20" s="4" t="s">
        <v>53</v>
      </c>
      <c r="K20" s="4" t="s">
        <v>57</v>
      </c>
      <c r="L20" s="4" t="s">
        <v>41</v>
      </c>
      <c r="M20" s="4" t="s">
        <v>55</v>
      </c>
      <c r="N20" s="4" t="s">
        <v>59</v>
      </c>
      <c r="O20" s="4" t="s">
        <v>43</v>
      </c>
    </row>
    <row r="21" spans="2:15" ht="16" thickBot="1" x14ac:dyDescent="0.4">
      <c r="B21" s="16">
        <v>46252</v>
      </c>
      <c r="C21" s="13" t="s">
        <v>46</v>
      </c>
      <c r="D21" s="13" t="s">
        <v>54</v>
      </c>
      <c r="E21" s="13" t="s">
        <v>58</v>
      </c>
      <c r="F21" s="13" t="s">
        <v>42</v>
      </c>
      <c r="G21" s="13" t="s">
        <v>52</v>
      </c>
      <c r="H21" s="13" t="s">
        <v>56</v>
      </c>
      <c r="I21" s="13" t="s">
        <v>40</v>
      </c>
      <c r="J21" s="13" t="s">
        <v>53</v>
      </c>
      <c r="K21" s="13" t="s">
        <v>57</v>
      </c>
      <c r="L21" s="13" t="s">
        <v>41</v>
      </c>
      <c r="M21" s="13" t="s">
        <v>55</v>
      </c>
      <c r="N21" s="13" t="s">
        <v>59</v>
      </c>
      <c r="O21" s="13" t="s">
        <v>43</v>
      </c>
    </row>
    <row r="22" spans="2:15" x14ac:dyDescent="0.35">
      <c r="B22" s="2">
        <v>46253</v>
      </c>
      <c r="C22" s="4" t="s">
        <v>47</v>
      </c>
      <c r="D22" s="4" t="s">
        <v>55</v>
      </c>
      <c r="E22" s="4" t="s">
        <v>59</v>
      </c>
      <c r="F22" s="4" t="s">
        <v>43</v>
      </c>
      <c r="G22" s="4" t="s">
        <v>52</v>
      </c>
      <c r="H22" s="4" t="s">
        <v>56</v>
      </c>
      <c r="I22" s="4" t="s">
        <v>40</v>
      </c>
      <c r="J22" s="4" t="s">
        <v>53</v>
      </c>
      <c r="K22" s="4" t="s">
        <v>57</v>
      </c>
      <c r="L22" s="4" t="s">
        <v>41</v>
      </c>
      <c r="M22" s="4" t="s">
        <v>54</v>
      </c>
      <c r="N22" s="4" t="s">
        <v>58</v>
      </c>
      <c r="O22" s="4" t="s">
        <v>42</v>
      </c>
    </row>
    <row r="23" spans="2:15" x14ac:dyDescent="0.35">
      <c r="B23" s="2">
        <v>46254</v>
      </c>
      <c r="C23" s="4" t="s">
        <v>48</v>
      </c>
      <c r="D23" s="4" t="s">
        <v>55</v>
      </c>
      <c r="E23" s="4" t="s">
        <v>59</v>
      </c>
      <c r="F23" s="4" t="s">
        <v>43</v>
      </c>
      <c r="G23" s="4" t="s">
        <v>52</v>
      </c>
      <c r="H23" s="4" t="s">
        <v>56</v>
      </c>
      <c r="I23" s="4" t="s">
        <v>40</v>
      </c>
      <c r="J23" s="4" t="s">
        <v>53</v>
      </c>
      <c r="K23" s="4" t="s">
        <v>57</v>
      </c>
      <c r="L23" s="4" t="s">
        <v>41</v>
      </c>
      <c r="M23" s="4" t="s">
        <v>54</v>
      </c>
      <c r="N23" s="4" t="s">
        <v>58</v>
      </c>
      <c r="O23" s="4" t="s">
        <v>42</v>
      </c>
    </row>
    <row r="24" spans="2:15" x14ac:dyDescent="0.35">
      <c r="B24" s="2">
        <v>46255</v>
      </c>
      <c r="C24" s="4" t="s">
        <v>49</v>
      </c>
      <c r="D24" s="4" t="s">
        <v>55</v>
      </c>
      <c r="E24" s="4" t="s">
        <v>59</v>
      </c>
      <c r="F24" s="4" t="s">
        <v>43</v>
      </c>
      <c r="G24" s="4" t="s">
        <v>52</v>
      </c>
      <c r="H24" s="4" t="s">
        <v>56</v>
      </c>
      <c r="I24" s="4" t="s">
        <v>40</v>
      </c>
      <c r="J24" s="4" t="s">
        <v>54</v>
      </c>
      <c r="K24" s="4" t="s">
        <v>58</v>
      </c>
      <c r="L24" s="4" t="s">
        <v>42</v>
      </c>
      <c r="M24" s="4" t="s">
        <v>53</v>
      </c>
      <c r="N24" s="4" t="s">
        <v>57</v>
      </c>
      <c r="O24" s="4" t="s">
        <v>41</v>
      </c>
    </row>
    <row r="25" spans="2:15" x14ac:dyDescent="0.35">
      <c r="B25" s="2">
        <v>46256</v>
      </c>
      <c r="C25" s="4" t="s">
        <v>39</v>
      </c>
      <c r="D25" s="4" t="s">
        <v>55</v>
      </c>
      <c r="E25" s="4" t="s">
        <v>59</v>
      </c>
      <c r="F25" s="4" t="s">
        <v>43</v>
      </c>
      <c r="G25" s="4" t="s">
        <v>52</v>
      </c>
      <c r="H25" s="4" t="s">
        <v>56</v>
      </c>
      <c r="I25" s="4" t="s">
        <v>40</v>
      </c>
      <c r="J25" s="4" t="s">
        <v>54</v>
      </c>
      <c r="K25" s="4" t="s">
        <v>58</v>
      </c>
      <c r="L25" s="4" t="s">
        <v>42</v>
      </c>
      <c r="M25" s="4" t="s">
        <v>53</v>
      </c>
      <c r="N25" s="4" t="s">
        <v>57</v>
      </c>
      <c r="O25" s="4" t="s">
        <v>41</v>
      </c>
    </row>
    <row r="26" spans="2:15" x14ac:dyDescent="0.35">
      <c r="B26" s="2">
        <v>46257</v>
      </c>
      <c r="C26" s="4" t="s">
        <v>44</v>
      </c>
      <c r="D26" s="4" t="s">
        <v>55</v>
      </c>
      <c r="E26" s="4" t="s">
        <v>59</v>
      </c>
      <c r="F26" s="4" t="s">
        <v>43</v>
      </c>
      <c r="G26" s="4" t="s">
        <v>53</v>
      </c>
      <c r="H26" s="4" t="s">
        <v>57</v>
      </c>
      <c r="I26" s="4" t="s">
        <v>41</v>
      </c>
      <c r="J26" s="4" t="s">
        <v>54</v>
      </c>
      <c r="K26" s="4" t="s">
        <v>58</v>
      </c>
      <c r="L26" s="4" t="s">
        <v>42</v>
      </c>
      <c r="M26" s="4" t="s">
        <v>52</v>
      </c>
      <c r="N26" s="4" t="s">
        <v>56</v>
      </c>
      <c r="O26" s="4" t="s">
        <v>40</v>
      </c>
    </row>
    <row r="27" spans="2:15" ht="16" thickBot="1" x14ac:dyDescent="0.4">
      <c r="B27" s="16">
        <v>46258</v>
      </c>
      <c r="C27" s="13" t="s">
        <v>45</v>
      </c>
      <c r="D27" s="13" t="s">
        <v>55</v>
      </c>
      <c r="E27" s="13" t="s">
        <v>59</v>
      </c>
      <c r="F27" s="13" t="s">
        <v>43</v>
      </c>
      <c r="G27" s="13" t="s">
        <v>53</v>
      </c>
      <c r="H27" s="13" t="s">
        <v>57</v>
      </c>
      <c r="I27" s="13" t="s">
        <v>41</v>
      </c>
      <c r="J27" s="13" t="s">
        <v>54</v>
      </c>
      <c r="K27" s="13" t="s">
        <v>58</v>
      </c>
      <c r="L27" s="13" t="s">
        <v>42</v>
      </c>
      <c r="M27" s="13" t="s">
        <v>52</v>
      </c>
      <c r="N27" s="13" t="s">
        <v>56</v>
      </c>
      <c r="O27" s="13" t="s">
        <v>40</v>
      </c>
    </row>
    <row r="28" spans="2:15" x14ac:dyDescent="0.35">
      <c r="B28" s="2">
        <v>46259</v>
      </c>
      <c r="C28" s="4" t="s">
        <v>46</v>
      </c>
      <c r="D28" s="4" t="s">
        <v>52</v>
      </c>
      <c r="E28" s="4" t="s">
        <v>56</v>
      </c>
      <c r="F28" s="4" t="s">
        <v>40</v>
      </c>
      <c r="G28" s="4" t="s">
        <v>53</v>
      </c>
      <c r="H28" s="4" t="s">
        <v>57</v>
      </c>
      <c r="I28" s="4" t="s">
        <v>41</v>
      </c>
      <c r="J28" s="4" t="s">
        <v>54</v>
      </c>
      <c r="K28" s="4" t="s">
        <v>58</v>
      </c>
      <c r="L28" s="4" t="s">
        <v>42</v>
      </c>
      <c r="M28" s="4" t="s">
        <v>55</v>
      </c>
      <c r="N28" s="4" t="s">
        <v>59</v>
      </c>
      <c r="O28" s="4" t="s">
        <v>43</v>
      </c>
    </row>
    <row r="29" spans="2:15" x14ac:dyDescent="0.35">
      <c r="B29" s="2">
        <v>46260</v>
      </c>
      <c r="C29" s="4" t="s">
        <v>47</v>
      </c>
      <c r="D29" s="4" t="s">
        <v>52</v>
      </c>
      <c r="E29" s="4" t="s">
        <v>56</v>
      </c>
      <c r="F29" s="4" t="s">
        <v>40</v>
      </c>
      <c r="G29" s="4" t="s">
        <v>53</v>
      </c>
      <c r="H29" s="4" t="s">
        <v>57</v>
      </c>
      <c r="I29" s="4" t="s">
        <v>41</v>
      </c>
      <c r="J29" s="4" t="s">
        <v>54</v>
      </c>
      <c r="K29" s="4" t="s">
        <v>58</v>
      </c>
      <c r="L29" s="4" t="s">
        <v>42</v>
      </c>
      <c r="M29" s="4" t="s">
        <v>55</v>
      </c>
      <c r="N29" s="4" t="s">
        <v>59</v>
      </c>
      <c r="O29" s="4" t="s">
        <v>43</v>
      </c>
    </row>
    <row r="30" spans="2:15" x14ac:dyDescent="0.35">
      <c r="B30" s="2">
        <v>46261</v>
      </c>
      <c r="C30" s="4" t="s">
        <v>48</v>
      </c>
      <c r="D30" s="4" t="s">
        <v>52</v>
      </c>
      <c r="E30" s="4" t="s">
        <v>56</v>
      </c>
      <c r="F30" s="4" t="s">
        <v>40</v>
      </c>
      <c r="G30" s="4" t="s">
        <v>53</v>
      </c>
      <c r="H30" s="4" t="s">
        <v>57</v>
      </c>
      <c r="I30" s="4" t="s">
        <v>41</v>
      </c>
      <c r="J30" s="4" t="s">
        <v>55</v>
      </c>
      <c r="K30" s="4" t="s">
        <v>59</v>
      </c>
      <c r="L30" s="4" t="s">
        <v>43</v>
      </c>
      <c r="M30" s="4" t="s">
        <v>54</v>
      </c>
      <c r="N30" s="4" t="s">
        <v>58</v>
      </c>
      <c r="O30" s="4" t="s">
        <v>42</v>
      </c>
    </row>
    <row r="31" spans="2:15" x14ac:dyDescent="0.35">
      <c r="B31" s="2">
        <v>46262</v>
      </c>
      <c r="C31" s="4" t="s">
        <v>49</v>
      </c>
      <c r="D31" s="4" t="s">
        <v>52</v>
      </c>
      <c r="E31" s="4" t="s">
        <v>56</v>
      </c>
      <c r="F31" s="4" t="s">
        <v>40</v>
      </c>
      <c r="G31" s="4" t="s">
        <v>53</v>
      </c>
      <c r="H31" s="4" t="s">
        <v>57</v>
      </c>
      <c r="I31" s="4" t="s">
        <v>41</v>
      </c>
      <c r="J31" s="4" t="s">
        <v>55</v>
      </c>
      <c r="K31" s="4" t="s">
        <v>59</v>
      </c>
      <c r="L31" s="4" t="s">
        <v>43</v>
      </c>
      <c r="M31" s="4" t="s">
        <v>54</v>
      </c>
      <c r="N31" s="4" t="s">
        <v>58</v>
      </c>
      <c r="O31" s="4" t="s">
        <v>42</v>
      </c>
    </row>
    <row r="32" spans="2:15" x14ac:dyDescent="0.35">
      <c r="B32" s="2">
        <v>46263</v>
      </c>
      <c r="C32" s="4" t="s">
        <v>39</v>
      </c>
      <c r="D32" s="4" t="s">
        <v>52</v>
      </c>
      <c r="E32" s="4" t="s">
        <v>56</v>
      </c>
      <c r="F32" s="4" t="s">
        <v>40</v>
      </c>
      <c r="G32" s="4" t="s">
        <v>54</v>
      </c>
      <c r="H32" s="4" t="s">
        <v>58</v>
      </c>
      <c r="I32" s="4" t="s">
        <v>42</v>
      </c>
      <c r="J32" s="4" t="s">
        <v>55</v>
      </c>
      <c r="K32" s="4" t="s">
        <v>59</v>
      </c>
      <c r="L32" s="4" t="s">
        <v>43</v>
      </c>
      <c r="M32" s="4" t="s">
        <v>53</v>
      </c>
      <c r="N32" s="4" t="s">
        <v>57</v>
      </c>
      <c r="O32" s="4" t="s">
        <v>41</v>
      </c>
    </row>
    <row r="33" spans="2:15" ht="16" thickBot="1" x14ac:dyDescent="0.4">
      <c r="B33" s="16">
        <v>46264</v>
      </c>
      <c r="C33" s="13" t="s">
        <v>44</v>
      </c>
      <c r="D33" s="13" t="s">
        <v>52</v>
      </c>
      <c r="E33" s="13" t="s">
        <v>56</v>
      </c>
      <c r="F33" s="13" t="s">
        <v>40</v>
      </c>
      <c r="G33" s="13" t="s">
        <v>54</v>
      </c>
      <c r="H33" s="13" t="s">
        <v>58</v>
      </c>
      <c r="I33" s="13" t="s">
        <v>42</v>
      </c>
      <c r="J33" s="13" t="s">
        <v>55</v>
      </c>
      <c r="K33" s="13" t="s">
        <v>59</v>
      </c>
      <c r="L33" s="13" t="s">
        <v>43</v>
      </c>
      <c r="M33" s="13" t="s">
        <v>53</v>
      </c>
      <c r="N33" s="13" t="s">
        <v>57</v>
      </c>
      <c r="O33" s="13" t="s">
        <v>41</v>
      </c>
    </row>
    <row r="34" spans="2:15" x14ac:dyDescent="0.35">
      <c r="B34" s="2">
        <v>46265</v>
      </c>
      <c r="C34" s="4" t="s">
        <v>45</v>
      </c>
      <c r="D34" s="4" t="s">
        <v>53</v>
      </c>
      <c r="E34" s="4" t="s">
        <v>57</v>
      </c>
      <c r="F34" s="4" t="s">
        <v>41</v>
      </c>
      <c r="G34" s="4" t="s">
        <v>54</v>
      </c>
      <c r="H34" s="4" t="s">
        <v>58</v>
      </c>
      <c r="I34" s="4" t="s">
        <v>42</v>
      </c>
      <c r="J34" s="4" t="s">
        <v>55</v>
      </c>
      <c r="K34" s="4" t="s">
        <v>59</v>
      </c>
      <c r="L34" s="4" t="s">
        <v>43</v>
      </c>
      <c r="M34" s="4" t="s">
        <v>52</v>
      </c>
      <c r="N34" s="4" t="s">
        <v>56</v>
      </c>
      <c r="O34" s="4" t="s">
        <v>40</v>
      </c>
    </row>
    <row r="39" spans="2:15" x14ac:dyDescent="0.35">
      <c r="C39" s="15">
        <v>1</v>
      </c>
      <c r="D39" s="15">
        <v>3</v>
      </c>
      <c r="E39" s="15">
        <v>1</v>
      </c>
      <c r="F39" s="15">
        <v>2</v>
      </c>
      <c r="G39" s="15">
        <v>3</v>
      </c>
      <c r="H39" s="4">
        <f>QUOTIENT(C39,5)+1</f>
        <v>1</v>
      </c>
      <c r="I39" s="4">
        <f>MOD(D39 + H39,4)</f>
        <v>0</v>
      </c>
      <c r="J39" s="4">
        <f>QUOTIENT(C39,3)+2</f>
        <v>2</v>
      </c>
      <c r="K39" s="4">
        <f>MOD(E39 + J39,4)</f>
        <v>3</v>
      </c>
    </row>
    <row r="40" spans="2:15" x14ac:dyDescent="0.35">
      <c r="C40" s="15">
        <v>2</v>
      </c>
      <c r="D40" s="15">
        <v>3</v>
      </c>
      <c r="E40" s="15">
        <v>1</v>
      </c>
      <c r="F40" s="15">
        <v>2</v>
      </c>
      <c r="G40" s="15">
        <v>3</v>
      </c>
      <c r="H40" s="4">
        <f t="shared" ref="H40:H44" si="0">QUOTIENT(C40,5)+1</f>
        <v>1</v>
      </c>
      <c r="I40" s="4">
        <f t="shared" ref="I40:I44" si="1">MOD(D40 + H40,4)</f>
        <v>0</v>
      </c>
      <c r="J40" s="4">
        <f t="shared" ref="J40:J44" si="2">QUOTIENT(C40,3)+2</f>
        <v>2</v>
      </c>
      <c r="K40" s="4">
        <f t="shared" ref="K40:K44" si="3">MOD(E40 + J40,4)</f>
        <v>3</v>
      </c>
    </row>
    <row r="41" spans="2:15" x14ac:dyDescent="0.35">
      <c r="C41" s="15">
        <v>3</v>
      </c>
      <c r="D41" s="15">
        <v>3</v>
      </c>
      <c r="E41" s="15">
        <v>1</v>
      </c>
      <c r="F41" s="15">
        <v>3</v>
      </c>
      <c r="G41" s="15">
        <v>2</v>
      </c>
      <c r="H41" s="4">
        <f t="shared" si="0"/>
        <v>1</v>
      </c>
      <c r="I41" s="4">
        <f t="shared" si="1"/>
        <v>0</v>
      </c>
      <c r="J41" s="4">
        <f t="shared" si="2"/>
        <v>3</v>
      </c>
      <c r="K41" s="4">
        <f t="shared" si="3"/>
        <v>0</v>
      </c>
    </row>
    <row r="42" spans="2:15" x14ac:dyDescent="0.35">
      <c r="C42" s="15">
        <v>4</v>
      </c>
      <c r="D42" s="15">
        <v>3</v>
      </c>
      <c r="E42" s="15">
        <v>1</v>
      </c>
      <c r="F42" s="15">
        <v>3</v>
      </c>
      <c r="G42" s="15">
        <v>2</v>
      </c>
      <c r="H42" s="4">
        <f t="shared" si="0"/>
        <v>1</v>
      </c>
      <c r="I42" s="4">
        <f t="shared" si="1"/>
        <v>0</v>
      </c>
      <c r="J42" s="4">
        <f>QUOTIENT(C42,3)+2</f>
        <v>3</v>
      </c>
      <c r="K42" s="4">
        <f t="shared" si="3"/>
        <v>0</v>
      </c>
    </row>
    <row r="43" spans="2:15" x14ac:dyDescent="0.35">
      <c r="C43" s="15">
        <v>5</v>
      </c>
      <c r="D43" s="15">
        <v>3</v>
      </c>
      <c r="E43" s="15">
        <v>2</v>
      </c>
      <c r="F43" s="15">
        <v>3</v>
      </c>
      <c r="G43" s="15">
        <v>1</v>
      </c>
      <c r="H43" s="4">
        <f t="shared" si="0"/>
        <v>2</v>
      </c>
      <c r="I43" s="4">
        <f t="shared" si="1"/>
        <v>1</v>
      </c>
      <c r="J43" s="4">
        <f t="shared" si="2"/>
        <v>3</v>
      </c>
      <c r="K43" s="4">
        <f t="shared" si="3"/>
        <v>1</v>
      </c>
    </row>
    <row r="44" spans="2:15" x14ac:dyDescent="0.35">
      <c r="C44" s="15">
        <v>6</v>
      </c>
      <c r="D44" s="15">
        <v>3</v>
      </c>
      <c r="E44" s="15">
        <v>2</v>
      </c>
      <c r="F44" s="15">
        <v>3</v>
      </c>
      <c r="G44" s="15">
        <v>1</v>
      </c>
      <c r="H44" s="4">
        <f t="shared" si="0"/>
        <v>2</v>
      </c>
      <c r="I44" s="4">
        <f t="shared" si="1"/>
        <v>1</v>
      </c>
      <c r="J44" s="4">
        <f t="shared" si="2"/>
        <v>4</v>
      </c>
      <c r="K44" s="4">
        <f t="shared" si="3"/>
        <v>2</v>
      </c>
    </row>
    <row r="47" spans="2:15" x14ac:dyDescent="0.35">
      <c r="C47" s="4">
        <v>0</v>
      </c>
      <c r="D47" s="4">
        <v>0</v>
      </c>
    </row>
    <row r="48" spans="2:15" x14ac:dyDescent="0.35">
      <c r="C48" s="4">
        <v>1</v>
      </c>
      <c r="D48" s="4">
        <v>2</v>
      </c>
    </row>
    <row r="49" spans="3:5" x14ac:dyDescent="0.35">
      <c r="C49" s="4">
        <v>2</v>
      </c>
      <c r="D49" s="4">
        <v>4</v>
      </c>
    </row>
    <row r="50" spans="3:5" x14ac:dyDescent="0.35">
      <c r="C50" s="4">
        <v>3</v>
      </c>
      <c r="D50" s="4">
        <v>6</v>
      </c>
    </row>
    <row r="52" spans="3:5" x14ac:dyDescent="0.35">
      <c r="C52" s="4">
        <v>0</v>
      </c>
      <c r="D52" s="4">
        <v>0</v>
      </c>
      <c r="E52" s="4">
        <v>2</v>
      </c>
    </row>
    <row r="53" spans="3:5" x14ac:dyDescent="0.35">
      <c r="C53" s="4">
        <v>1</v>
      </c>
    </row>
    <row r="54" spans="3:5" x14ac:dyDescent="0.35">
      <c r="C54" s="4">
        <v>2</v>
      </c>
    </row>
    <row r="55" spans="3:5" x14ac:dyDescent="0.35">
      <c r="C55" s="4">
        <v>3</v>
      </c>
    </row>
  </sheetData>
  <phoneticPr fontId="1" type="noConversion"/>
  <conditionalFormatting sqref="D4:O34">
    <cfRule type="containsText" dxfId="11" priority="12" operator="containsText" text="Alice">
      <formula>NOT(ISERROR(SEARCH("Alice",D4)))</formula>
    </cfRule>
    <cfRule type="containsText" dxfId="10" priority="11" operator="containsText" text="Bruce">
      <formula>NOT(ISERROR(SEARCH("Bruce",D4)))</formula>
    </cfRule>
    <cfRule type="containsText" dxfId="9" priority="10" operator="containsText" text="Carol">
      <formula>NOT(ISERROR(SEARCH("Carol",D4)))</formula>
    </cfRule>
    <cfRule type="containsText" dxfId="8" priority="9" operator="containsText" text="David">
      <formula>NOT(ISERROR(SEARCH("David",D4)))</formula>
    </cfRule>
    <cfRule type="containsText" dxfId="7" priority="8" operator="containsText" text="Eason">
      <formula>NOT(ISERROR(SEARCH("Eason",D4)))</formula>
    </cfRule>
    <cfRule type="containsText" dxfId="6" priority="7" operator="containsText" text="Frank">
      <formula>NOT(ISERROR(SEARCH("Frank",D4)))</formula>
    </cfRule>
    <cfRule type="containsText" dxfId="5" priority="6" operator="containsText" text="Grog">
      <formula>NOT(ISERROR(SEARCH("Grog",D4)))</formula>
    </cfRule>
    <cfRule type="containsText" dxfId="4" priority="5" operator="containsText" text="Hank">
      <formula>NOT(ISERROR(SEARCH("Hank",D4)))</formula>
    </cfRule>
    <cfRule type="containsText" dxfId="3" priority="4" operator="containsText" text="Iris">
      <formula>NOT(ISERROR(SEARCH("Iris",D4)))</formula>
    </cfRule>
    <cfRule type="containsText" dxfId="2" priority="3" operator="containsText" text="Jackson">
      <formula>NOT(ISERROR(SEARCH("Jackson",D4)))</formula>
    </cfRule>
    <cfRule type="containsText" dxfId="1" priority="2" operator="containsText" text="Ken">
      <formula>NOT(ISERROR(SEARCH("Ken",D4)))</formula>
    </cfRule>
    <cfRule type="containsText" dxfId="0" priority="1" operator="containsText" text="Louis">
      <formula>NOT(ISERROR(SEARCH("Louis",D4)))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A839-28BE-48F7-974A-BC1344349254}">
  <dimension ref="B3:P39"/>
  <sheetViews>
    <sheetView tabSelected="1" zoomScale="59" workbookViewId="0">
      <selection activeCell="J24" sqref="J24"/>
    </sheetView>
  </sheetViews>
  <sheetFormatPr defaultRowHeight="15.5" x14ac:dyDescent="0.35"/>
  <sheetData>
    <row r="3" spans="2:16" x14ac:dyDescent="0.35">
      <c r="B3" t="s">
        <v>60</v>
      </c>
      <c r="C3" t="s">
        <v>61</v>
      </c>
      <c r="F3" t="s">
        <v>33</v>
      </c>
      <c r="I3" t="s">
        <v>34</v>
      </c>
      <c r="L3" t="s">
        <v>35</v>
      </c>
      <c r="O3" t="s">
        <v>50</v>
      </c>
      <c r="P3" t="s">
        <v>51</v>
      </c>
    </row>
    <row r="4" spans="2:16" x14ac:dyDescent="0.35">
      <c r="B4" t="s">
        <v>62</v>
      </c>
      <c r="C4" t="s">
        <v>63</v>
      </c>
      <c r="D4" t="s">
        <v>64</v>
      </c>
      <c r="E4" t="s">
        <v>65</v>
      </c>
      <c r="F4" t="s">
        <v>64</v>
      </c>
      <c r="G4" t="s">
        <v>66</v>
      </c>
      <c r="H4" t="s">
        <v>66</v>
      </c>
      <c r="I4" t="s">
        <v>65</v>
      </c>
      <c r="J4" t="s">
        <v>64</v>
      </c>
      <c r="K4" t="s">
        <v>66</v>
      </c>
      <c r="L4" t="s">
        <v>65</v>
      </c>
      <c r="M4" t="s">
        <v>64</v>
      </c>
      <c r="N4" t="s">
        <v>66</v>
      </c>
      <c r="O4" t="s">
        <v>66</v>
      </c>
      <c r="P4" t="s">
        <v>67</v>
      </c>
    </row>
    <row r="5" spans="2:16" x14ac:dyDescent="0.35">
      <c r="D5" t="s">
        <v>36</v>
      </c>
      <c r="E5" t="s">
        <v>37</v>
      </c>
      <c r="F5" t="s">
        <v>38</v>
      </c>
      <c r="G5" t="s">
        <v>36</v>
      </c>
      <c r="H5" t="s">
        <v>37</v>
      </c>
      <c r="I5" t="s">
        <v>38</v>
      </c>
      <c r="J5" t="s">
        <v>36</v>
      </c>
      <c r="K5" t="s">
        <v>37</v>
      </c>
      <c r="L5" t="s">
        <v>38</v>
      </c>
      <c r="M5" t="s">
        <v>36</v>
      </c>
      <c r="N5" t="s">
        <v>37</v>
      </c>
      <c r="O5" t="s">
        <v>38</v>
      </c>
      <c r="P5" t="s">
        <v>68</v>
      </c>
    </row>
    <row r="6" spans="2:16" x14ac:dyDescent="0.35">
      <c r="B6" t="s">
        <v>62</v>
      </c>
      <c r="C6" t="s">
        <v>63</v>
      </c>
      <c r="D6" t="s">
        <v>64</v>
      </c>
      <c r="E6" t="s">
        <v>65</v>
      </c>
      <c r="F6" t="s">
        <v>64</v>
      </c>
      <c r="G6" t="s">
        <v>66</v>
      </c>
      <c r="H6" t="s">
        <v>66</v>
      </c>
      <c r="I6" t="s">
        <v>65</v>
      </c>
      <c r="J6" t="s">
        <v>64</v>
      </c>
      <c r="K6" t="s">
        <v>66</v>
      </c>
      <c r="L6" t="s">
        <v>65</v>
      </c>
      <c r="M6" t="s">
        <v>64</v>
      </c>
      <c r="N6" t="s">
        <v>66</v>
      </c>
      <c r="O6" t="s">
        <v>66</v>
      </c>
      <c r="P6" t="s">
        <v>67</v>
      </c>
    </row>
    <row r="7" spans="2:16" x14ac:dyDescent="0.35">
      <c r="B7" s="18">
        <v>46296</v>
      </c>
      <c r="C7" t="s">
        <v>48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s">
        <v>79</v>
      </c>
      <c r="O7" t="s">
        <v>80</v>
      </c>
      <c r="P7" t="s">
        <v>81</v>
      </c>
    </row>
    <row r="8" spans="2:16" x14ac:dyDescent="0.35">
      <c r="B8" s="18">
        <v>46297</v>
      </c>
      <c r="C8" t="s">
        <v>49</v>
      </c>
      <c r="D8" t="s">
        <v>81</v>
      </c>
      <c r="E8" t="s">
        <v>70</v>
      </c>
      <c r="F8" t="s">
        <v>71</v>
      </c>
      <c r="G8" t="s">
        <v>69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  <c r="N8" t="s">
        <v>79</v>
      </c>
      <c r="O8" t="s">
        <v>80</v>
      </c>
    </row>
    <row r="9" spans="2:16" x14ac:dyDescent="0.35">
      <c r="B9" s="18">
        <v>46298</v>
      </c>
      <c r="C9" t="s">
        <v>39</v>
      </c>
      <c r="D9" t="s">
        <v>81</v>
      </c>
      <c r="E9" t="s">
        <v>70</v>
      </c>
      <c r="F9" t="s">
        <v>71</v>
      </c>
      <c r="G9" t="s">
        <v>69</v>
      </c>
      <c r="H9" t="s">
        <v>73</v>
      </c>
      <c r="I9" t="s">
        <v>74</v>
      </c>
      <c r="J9" t="s">
        <v>78</v>
      </c>
      <c r="K9" t="s">
        <v>79</v>
      </c>
      <c r="L9" t="s">
        <v>80</v>
      </c>
      <c r="M9" t="s">
        <v>75</v>
      </c>
      <c r="N9" t="s">
        <v>76</v>
      </c>
      <c r="O9" t="s">
        <v>77</v>
      </c>
    </row>
    <row r="10" spans="2:16" x14ac:dyDescent="0.35">
      <c r="B10" s="18">
        <v>46299</v>
      </c>
      <c r="C10" t="s">
        <v>44</v>
      </c>
      <c r="D10" t="s">
        <v>81</v>
      </c>
      <c r="E10" t="s">
        <v>70</v>
      </c>
      <c r="F10" t="s">
        <v>71</v>
      </c>
      <c r="G10" t="s">
        <v>69</v>
      </c>
      <c r="H10" t="s">
        <v>73</v>
      </c>
      <c r="I10" t="s">
        <v>74</v>
      </c>
      <c r="J10" t="s">
        <v>78</v>
      </c>
      <c r="K10" t="s">
        <v>79</v>
      </c>
      <c r="L10" t="s">
        <v>80</v>
      </c>
      <c r="M10" t="s">
        <v>75</v>
      </c>
      <c r="N10" t="s">
        <v>76</v>
      </c>
      <c r="O10" t="s">
        <v>77</v>
      </c>
    </row>
    <row r="11" spans="2:16" x14ac:dyDescent="0.35">
      <c r="B11" s="18">
        <v>46300</v>
      </c>
      <c r="C11" t="s">
        <v>45</v>
      </c>
      <c r="D11" t="s">
        <v>81</v>
      </c>
      <c r="E11" t="s">
        <v>70</v>
      </c>
      <c r="F11" t="s">
        <v>71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80</v>
      </c>
      <c r="M11" t="s">
        <v>69</v>
      </c>
      <c r="N11" t="s">
        <v>73</v>
      </c>
      <c r="O11" t="s">
        <v>74</v>
      </c>
    </row>
    <row r="12" spans="2:16" x14ac:dyDescent="0.35">
      <c r="B12" s="18">
        <v>46301</v>
      </c>
      <c r="C12" t="s">
        <v>46</v>
      </c>
      <c r="D12" t="s">
        <v>81</v>
      </c>
      <c r="E12" t="s">
        <v>70</v>
      </c>
      <c r="F12" t="s">
        <v>71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  <c r="L12" t="s">
        <v>80</v>
      </c>
      <c r="M12" t="s">
        <v>69</v>
      </c>
      <c r="N12" t="s">
        <v>73</v>
      </c>
      <c r="O12" t="s">
        <v>74</v>
      </c>
    </row>
    <row r="13" spans="2:16" x14ac:dyDescent="0.35">
      <c r="B13" s="18">
        <v>46302</v>
      </c>
      <c r="C13" t="s">
        <v>47</v>
      </c>
      <c r="D13" t="s">
        <v>69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70</v>
      </c>
      <c r="O13" t="s">
        <v>71</v>
      </c>
    </row>
    <row r="14" spans="2:16" x14ac:dyDescent="0.35">
      <c r="B14" s="18">
        <v>46303</v>
      </c>
      <c r="C14" t="s">
        <v>48</v>
      </c>
      <c r="D14" t="s">
        <v>69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70</v>
      </c>
      <c r="O14" t="s">
        <v>71</v>
      </c>
    </row>
    <row r="15" spans="2:16" x14ac:dyDescent="0.35">
      <c r="B15" s="18">
        <v>46304</v>
      </c>
      <c r="C15" t="s">
        <v>49</v>
      </c>
      <c r="D15" t="s">
        <v>69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81</v>
      </c>
      <c r="K15" t="s">
        <v>70</v>
      </c>
      <c r="L15" t="s">
        <v>71</v>
      </c>
      <c r="M15" t="s">
        <v>78</v>
      </c>
      <c r="N15" t="s">
        <v>79</v>
      </c>
      <c r="O15" t="s">
        <v>80</v>
      </c>
    </row>
    <row r="16" spans="2:16" x14ac:dyDescent="0.35">
      <c r="B16" s="18">
        <v>46305</v>
      </c>
      <c r="C16" t="s">
        <v>39</v>
      </c>
      <c r="D16" t="s">
        <v>69</v>
      </c>
      <c r="E16" t="s">
        <v>76</v>
      </c>
      <c r="F16" t="s">
        <v>74</v>
      </c>
      <c r="G16" t="s">
        <v>75</v>
      </c>
      <c r="H16" t="s">
        <v>82</v>
      </c>
      <c r="I16" t="s">
        <v>77</v>
      </c>
      <c r="J16" t="s">
        <v>81</v>
      </c>
      <c r="K16" t="s">
        <v>70</v>
      </c>
      <c r="L16" t="s">
        <v>71</v>
      </c>
      <c r="M16" t="s">
        <v>78</v>
      </c>
      <c r="N16" t="s">
        <v>79</v>
      </c>
      <c r="O16" t="s">
        <v>80</v>
      </c>
      <c r="P16" t="s">
        <v>73</v>
      </c>
    </row>
    <row r="17" spans="2:16" x14ac:dyDescent="0.35">
      <c r="B17" s="18">
        <v>46306</v>
      </c>
      <c r="C17" t="s">
        <v>44</v>
      </c>
      <c r="D17" t="s">
        <v>69</v>
      </c>
      <c r="E17" t="s">
        <v>73</v>
      </c>
      <c r="F17" t="s">
        <v>74</v>
      </c>
      <c r="G17" t="s">
        <v>78</v>
      </c>
      <c r="H17" t="s">
        <v>79</v>
      </c>
      <c r="I17" t="s">
        <v>80</v>
      </c>
      <c r="J17" t="s">
        <v>81</v>
      </c>
      <c r="K17" t="s">
        <v>70</v>
      </c>
      <c r="L17" t="s">
        <v>71</v>
      </c>
      <c r="M17" t="s">
        <v>75</v>
      </c>
      <c r="N17" t="s">
        <v>76</v>
      </c>
      <c r="O17" t="s">
        <v>77</v>
      </c>
    </row>
    <row r="18" spans="2:16" x14ac:dyDescent="0.35">
      <c r="B18" s="18">
        <v>46307</v>
      </c>
      <c r="C18" t="s">
        <v>45</v>
      </c>
      <c r="D18" t="s">
        <v>69</v>
      </c>
      <c r="E18" t="s">
        <v>73</v>
      </c>
      <c r="F18" t="s">
        <v>74</v>
      </c>
      <c r="G18" t="s">
        <v>78</v>
      </c>
      <c r="H18" t="s">
        <v>79</v>
      </c>
      <c r="I18" t="s">
        <v>80</v>
      </c>
      <c r="J18" t="s">
        <v>81</v>
      </c>
      <c r="K18" t="s">
        <v>70</v>
      </c>
      <c r="L18" t="s">
        <v>71</v>
      </c>
      <c r="M18" t="s">
        <v>75</v>
      </c>
      <c r="N18" t="s">
        <v>76</v>
      </c>
      <c r="O18" t="s">
        <v>77</v>
      </c>
    </row>
    <row r="19" spans="2:16" x14ac:dyDescent="0.35">
      <c r="B19" s="18">
        <v>46308</v>
      </c>
      <c r="C19" t="s">
        <v>46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70</v>
      </c>
      <c r="L19" t="s">
        <v>71</v>
      </c>
      <c r="M19" t="s">
        <v>69</v>
      </c>
      <c r="N19" t="s">
        <v>73</v>
      </c>
      <c r="O19" t="s">
        <v>74</v>
      </c>
    </row>
    <row r="20" spans="2:16" x14ac:dyDescent="0.35">
      <c r="B20" s="18">
        <v>46309</v>
      </c>
      <c r="C20" t="s">
        <v>47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70</v>
      </c>
      <c r="L20" t="s">
        <v>71</v>
      </c>
      <c r="M20" t="s">
        <v>69</v>
      </c>
      <c r="N20" t="s">
        <v>73</v>
      </c>
      <c r="O20" t="s">
        <v>74</v>
      </c>
    </row>
    <row r="21" spans="2:16" x14ac:dyDescent="0.35">
      <c r="B21" s="18">
        <v>46310</v>
      </c>
      <c r="C21" t="s">
        <v>48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69</v>
      </c>
      <c r="K21" t="s">
        <v>73</v>
      </c>
      <c r="L21" t="s">
        <v>74</v>
      </c>
      <c r="M21" t="s">
        <v>81</v>
      </c>
      <c r="N21" t="s">
        <v>70</v>
      </c>
      <c r="O21" t="s">
        <v>71</v>
      </c>
    </row>
    <row r="22" spans="2:16" x14ac:dyDescent="0.35">
      <c r="B22" s="18">
        <v>46311</v>
      </c>
      <c r="C22" t="s">
        <v>49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69</v>
      </c>
      <c r="K22" t="s">
        <v>73</v>
      </c>
      <c r="L22" t="s">
        <v>74</v>
      </c>
      <c r="M22" t="s">
        <v>81</v>
      </c>
      <c r="N22" t="s">
        <v>70</v>
      </c>
      <c r="O22" t="s">
        <v>71</v>
      </c>
    </row>
    <row r="23" spans="2:16" x14ac:dyDescent="0.35">
      <c r="B23" s="18">
        <v>46312</v>
      </c>
      <c r="C23" t="s">
        <v>39</v>
      </c>
      <c r="D23" t="s">
        <v>75</v>
      </c>
      <c r="E23" t="s">
        <v>76</v>
      </c>
      <c r="F23" t="s">
        <v>77</v>
      </c>
      <c r="G23" t="s">
        <v>81</v>
      </c>
      <c r="H23" t="s">
        <v>70</v>
      </c>
      <c r="I23" t="s">
        <v>71</v>
      </c>
      <c r="J23" t="s">
        <v>69</v>
      </c>
      <c r="K23" t="s">
        <v>73</v>
      </c>
      <c r="L23" t="s">
        <v>74</v>
      </c>
      <c r="M23" t="s">
        <v>78</v>
      </c>
      <c r="N23" t="s">
        <v>79</v>
      </c>
      <c r="O23" t="s">
        <v>80</v>
      </c>
    </row>
    <row r="24" spans="2:16" x14ac:dyDescent="0.35">
      <c r="B24" s="18">
        <v>46313</v>
      </c>
      <c r="C24" t="s">
        <v>44</v>
      </c>
      <c r="D24" t="s">
        <v>75</v>
      </c>
      <c r="E24" t="s">
        <v>76</v>
      </c>
      <c r="F24" t="s">
        <v>77</v>
      </c>
      <c r="G24" t="s">
        <v>81</v>
      </c>
      <c r="H24" t="s">
        <v>70</v>
      </c>
      <c r="I24" t="s">
        <v>71</v>
      </c>
      <c r="J24" t="s">
        <v>69</v>
      </c>
      <c r="K24" t="s">
        <v>73</v>
      </c>
      <c r="L24" t="s">
        <v>74</v>
      </c>
      <c r="M24" t="s">
        <v>78</v>
      </c>
      <c r="N24" t="s">
        <v>79</v>
      </c>
      <c r="O24" t="s">
        <v>80</v>
      </c>
    </row>
    <row r="25" spans="2:16" x14ac:dyDescent="0.35">
      <c r="B25" s="18">
        <v>46314</v>
      </c>
      <c r="C25" t="s">
        <v>45</v>
      </c>
      <c r="D25" t="s">
        <v>78</v>
      </c>
      <c r="E25" t="s">
        <v>79</v>
      </c>
      <c r="F25" t="s">
        <v>80</v>
      </c>
      <c r="G25" t="s">
        <v>81</v>
      </c>
      <c r="H25" t="s">
        <v>70</v>
      </c>
      <c r="I25" t="s">
        <v>71</v>
      </c>
      <c r="J25" t="s">
        <v>69</v>
      </c>
      <c r="K25" t="s">
        <v>73</v>
      </c>
      <c r="L25" t="s">
        <v>74</v>
      </c>
      <c r="M25" t="s">
        <v>75</v>
      </c>
      <c r="N25" t="s">
        <v>76</v>
      </c>
      <c r="O25" t="s">
        <v>77</v>
      </c>
    </row>
    <row r="26" spans="2:16" x14ac:dyDescent="0.35">
      <c r="B26" s="18">
        <v>46315</v>
      </c>
      <c r="C26" t="s">
        <v>46</v>
      </c>
      <c r="D26" t="s">
        <v>78</v>
      </c>
      <c r="E26" t="s">
        <v>79</v>
      </c>
      <c r="F26" t="s">
        <v>71</v>
      </c>
      <c r="G26" t="s">
        <v>81</v>
      </c>
      <c r="H26" t="s">
        <v>70</v>
      </c>
      <c r="I26" t="s">
        <v>83</v>
      </c>
      <c r="J26" t="s">
        <v>69</v>
      </c>
      <c r="K26" t="s">
        <v>73</v>
      </c>
      <c r="L26" t="s">
        <v>74</v>
      </c>
      <c r="M26" t="s">
        <v>75</v>
      </c>
      <c r="N26" t="s">
        <v>76</v>
      </c>
      <c r="O26" t="s">
        <v>77</v>
      </c>
      <c r="P26" t="s">
        <v>80</v>
      </c>
    </row>
    <row r="27" spans="2:16" x14ac:dyDescent="0.35">
      <c r="B27" s="18">
        <v>46316</v>
      </c>
      <c r="C27" t="s">
        <v>47</v>
      </c>
      <c r="D27" t="s">
        <v>78</v>
      </c>
      <c r="E27" t="s">
        <v>79</v>
      </c>
      <c r="F27" t="s">
        <v>80</v>
      </c>
      <c r="G27" t="s">
        <v>81</v>
      </c>
      <c r="H27" t="s">
        <v>70</v>
      </c>
      <c r="I27" t="s">
        <v>71</v>
      </c>
      <c r="J27" t="s">
        <v>75</v>
      </c>
      <c r="K27" t="s">
        <v>76</v>
      </c>
      <c r="L27" t="s">
        <v>77</v>
      </c>
      <c r="M27" t="s">
        <v>69</v>
      </c>
      <c r="N27" t="s">
        <v>73</v>
      </c>
      <c r="O27" t="s">
        <v>74</v>
      </c>
    </row>
    <row r="28" spans="2:16" x14ac:dyDescent="0.35">
      <c r="B28" s="18">
        <v>46317</v>
      </c>
      <c r="C28" t="s">
        <v>48</v>
      </c>
      <c r="D28" t="s">
        <v>78</v>
      </c>
      <c r="E28" t="s">
        <v>79</v>
      </c>
      <c r="F28" t="s">
        <v>80</v>
      </c>
      <c r="G28" t="s">
        <v>81</v>
      </c>
      <c r="H28" t="s">
        <v>70</v>
      </c>
      <c r="I28" t="s">
        <v>71</v>
      </c>
      <c r="J28" t="s">
        <v>75</v>
      </c>
      <c r="K28" t="s">
        <v>76</v>
      </c>
      <c r="L28" t="s">
        <v>77</v>
      </c>
      <c r="M28" t="s">
        <v>69</v>
      </c>
      <c r="N28" t="s">
        <v>73</v>
      </c>
      <c r="O28" t="s">
        <v>74</v>
      </c>
    </row>
    <row r="29" spans="2:16" x14ac:dyDescent="0.35">
      <c r="B29" s="18">
        <v>46318</v>
      </c>
      <c r="C29" t="s">
        <v>49</v>
      </c>
      <c r="D29" t="s">
        <v>78</v>
      </c>
      <c r="E29" t="s">
        <v>79</v>
      </c>
      <c r="F29" t="s">
        <v>80</v>
      </c>
      <c r="G29" t="s">
        <v>69</v>
      </c>
      <c r="H29" t="s">
        <v>73</v>
      </c>
      <c r="I29" t="s">
        <v>74</v>
      </c>
      <c r="J29" t="s">
        <v>75</v>
      </c>
      <c r="K29" t="s">
        <v>76</v>
      </c>
      <c r="L29" t="s">
        <v>77</v>
      </c>
      <c r="M29" t="s">
        <v>81</v>
      </c>
      <c r="N29" t="s">
        <v>70</v>
      </c>
      <c r="O29" t="s">
        <v>71</v>
      </c>
    </row>
    <row r="30" spans="2:16" x14ac:dyDescent="0.35">
      <c r="B30" s="18">
        <v>46319</v>
      </c>
      <c r="C30" t="s">
        <v>39</v>
      </c>
      <c r="D30" t="s">
        <v>78</v>
      </c>
      <c r="E30" t="s">
        <v>79</v>
      </c>
      <c r="F30" t="s">
        <v>80</v>
      </c>
      <c r="G30" t="s">
        <v>69</v>
      </c>
      <c r="H30" t="s">
        <v>73</v>
      </c>
      <c r="I30" t="s">
        <v>74</v>
      </c>
      <c r="J30" t="s">
        <v>75</v>
      </c>
      <c r="K30" t="s">
        <v>76</v>
      </c>
      <c r="L30" t="s">
        <v>77</v>
      </c>
      <c r="M30" t="s">
        <v>81</v>
      </c>
      <c r="N30" t="s">
        <v>70</v>
      </c>
      <c r="O30" t="s">
        <v>71</v>
      </c>
    </row>
    <row r="31" spans="2:16" x14ac:dyDescent="0.35">
      <c r="B31" s="18">
        <v>46320</v>
      </c>
      <c r="C31" t="s">
        <v>44</v>
      </c>
      <c r="D31" t="s">
        <v>81</v>
      </c>
      <c r="E31" t="s">
        <v>70</v>
      </c>
      <c r="F31" t="s">
        <v>71</v>
      </c>
      <c r="G31" t="s">
        <v>69</v>
      </c>
      <c r="H31" t="s">
        <v>73</v>
      </c>
      <c r="I31" t="s">
        <v>74</v>
      </c>
      <c r="J31" t="s">
        <v>75</v>
      </c>
      <c r="K31" t="s">
        <v>76</v>
      </c>
      <c r="L31" t="s">
        <v>77</v>
      </c>
      <c r="M31" t="s">
        <v>78</v>
      </c>
      <c r="N31" t="s">
        <v>79</v>
      </c>
      <c r="O31" t="s">
        <v>80</v>
      </c>
    </row>
    <row r="32" spans="2:16" x14ac:dyDescent="0.35">
      <c r="B32" s="18">
        <v>46321</v>
      </c>
      <c r="C32" t="s">
        <v>45</v>
      </c>
      <c r="D32" t="s">
        <v>81</v>
      </c>
      <c r="E32" t="s">
        <v>70</v>
      </c>
      <c r="F32" t="s">
        <v>71</v>
      </c>
      <c r="G32" t="s">
        <v>69</v>
      </c>
      <c r="H32" t="s">
        <v>73</v>
      </c>
      <c r="I32" t="s">
        <v>74</v>
      </c>
      <c r="J32" t="s">
        <v>75</v>
      </c>
      <c r="K32" t="s">
        <v>76</v>
      </c>
      <c r="L32" t="s">
        <v>77</v>
      </c>
      <c r="M32" t="s">
        <v>78</v>
      </c>
      <c r="N32" t="s">
        <v>79</v>
      </c>
      <c r="O32" t="s">
        <v>80</v>
      </c>
    </row>
    <row r="33" spans="2:15" x14ac:dyDescent="0.35">
      <c r="B33" s="18">
        <v>46322</v>
      </c>
      <c r="C33" t="s">
        <v>46</v>
      </c>
      <c r="D33" t="s">
        <v>81</v>
      </c>
      <c r="E33" t="s">
        <v>70</v>
      </c>
      <c r="F33" t="s">
        <v>71</v>
      </c>
      <c r="G33" t="s">
        <v>69</v>
      </c>
      <c r="H33" t="s">
        <v>73</v>
      </c>
      <c r="I33" t="s">
        <v>74</v>
      </c>
      <c r="J33" t="s">
        <v>78</v>
      </c>
      <c r="K33" t="s">
        <v>79</v>
      </c>
      <c r="L33" t="s">
        <v>80</v>
      </c>
      <c r="M33" t="s">
        <v>75</v>
      </c>
      <c r="N33" t="s">
        <v>76</v>
      </c>
      <c r="O33" t="s">
        <v>77</v>
      </c>
    </row>
    <row r="34" spans="2:15" x14ac:dyDescent="0.35">
      <c r="B34" s="18">
        <v>46323</v>
      </c>
      <c r="C34" t="s">
        <v>47</v>
      </c>
      <c r="D34" t="s">
        <v>81</v>
      </c>
      <c r="E34" t="s">
        <v>70</v>
      </c>
      <c r="F34" t="s">
        <v>71</v>
      </c>
      <c r="G34" t="s">
        <v>69</v>
      </c>
      <c r="H34" t="s">
        <v>73</v>
      </c>
      <c r="I34" t="s">
        <v>74</v>
      </c>
      <c r="J34" t="s">
        <v>78</v>
      </c>
      <c r="K34" t="s">
        <v>79</v>
      </c>
      <c r="L34" t="s">
        <v>80</v>
      </c>
      <c r="M34" t="s">
        <v>75</v>
      </c>
      <c r="N34" t="s">
        <v>76</v>
      </c>
      <c r="O34" t="s">
        <v>77</v>
      </c>
    </row>
    <row r="35" spans="2:15" x14ac:dyDescent="0.35">
      <c r="B35" s="18">
        <v>46324</v>
      </c>
      <c r="C35" t="s">
        <v>48</v>
      </c>
      <c r="D35" t="s">
        <v>81</v>
      </c>
      <c r="E35" t="s">
        <v>70</v>
      </c>
      <c r="F35" t="s">
        <v>71</v>
      </c>
      <c r="G35" t="s">
        <v>75</v>
      </c>
      <c r="H35" t="s">
        <v>76</v>
      </c>
      <c r="I35" t="s">
        <v>77</v>
      </c>
      <c r="J35" t="s">
        <v>78</v>
      </c>
      <c r="K35" t="s">
        <v>79</v>
      </c>
      <c r="L35" t="s">
        <v>80</v>
      </c>
      <c r="M35" t="s">
        <v>69</v>
      </c>
      <c r="N35" t="s">
        <v>73</v>
      </c>
      <c r="O35" t="s">
        <v>74</v>
      </c>
    </row>
    <row r="36" spans="2:15" x14ac:dyDescent="0.35">
      <c r="B36" s="18">
        <v>46325</v>
      </c>
      <c r="C36" t="s">
        <v>49</v>
      </c>
      <c r="D36" t="s">
        <v>81</v>
      </c>
      <c r="E36" t="s">
        <v>70</v>
      </c>
      <c r="F36" t="s">
        <v>71</v>
      </c>
      <c r="G36" t="s">
        <v>75</v>
      </c>
      <c r="H36" t="s">
        <v>76</v>
      </c>
      <c r="I36" t="s">
        <v>77</v>
      </c>
      <c r="J36" t="s">
        <v>78</v>
      </c>
      <c r="K36" t="s">
        <v>79</v>
      </c>
      <c r="L36" t="s">
        <v>80</v>
      </c>
      <c r="M36" t="s">
        <v>69</v>
      </c>
      <c r="N36" t="s">
        <v>73</v>
      </c>
      <c r="O36" t="s">
        <v>74</v>
      </c>
    </row>
    <row r="37" spans="2:15" x14ac:dyDescent="0.35">
      <c r="B37" s="18">
        <v>46326</v>
      </c>
      <c r="C37" t="s">
        <v>39</v>
      </c>
      <c r="D37" t="s">
        <v>69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70</v>
      </c>
      <c r="O37" t="s">
        <v>71</v>
      </c>
    </row>
    <row r="39" spans="2:15" x14ac:dyDescent="0.35">
      <c r="D39">
        <v>11</v>
      </c>
      <c r="G39">
        <v>6</v>
      </c>
      <c r="J39">
        <v>6</v>
      </c>
      <c r="L39" s="19">
        <f>D39+G39+J39</f>
        <v>23</v>
      </c>
      <c r="M39">
        <f>L39*8</f>
        <v>184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建焜 黃</dc:creator>
  <cp:lastModifiedBy>建焜 黃</cp:lastModifiedBy>
  <dcterms:created xsi:type="dcterms:W3CDTF">2026-08-01T00:53:14Z</dcterms:created>
  <dcterms:modified xsi:type="dcterms:W3CDTF">2026-09-07T01:28:07Z</dcterms:modified>
</cp:coreProperties>
</file>